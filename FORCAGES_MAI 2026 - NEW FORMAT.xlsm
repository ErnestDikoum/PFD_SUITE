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Z:\PFD\Reporting Hebdomadaire (Djicky &amp; AVOUZOA)\TRAVAUX DIKOUM ERNEST\2026\SYNTHESES_ENTREPRISES\Nouveau dossier\"/>
    </mc:Choice>
  </mc:AlternateContent>
  <xr:revisionPtr revIDLastSave="0" documentId="13_ncr:1_{2483DAAA-90E0-45FB-9EAB-29F63B635FF3}" xr6:coauthVersionLast="47" xr6:coauthVersionMax="47" xr10:uidLastSave="{00000000-0000-0000-0000-000000000000}"/>
  <bookViews>
    <workbookView xWindow="-120" yWindow="-120" windowWidth="29040" windowHeight="16440" xr2:uid="{4E4D6FE6-2B4E-46F6-B487-0E361811AC41}"/>
  </bookViews>
  <sheets>
    <sheet name="DONNÉES_PQ" sheetId="15" r:id="rId1"/>
    <sheet name="DONNÉES" sheetId="4" r:id="rId2"/>
    <sheet name="Feuil1" sheetId="13" r:id="rId3"/>
    <sheet name="BASE_CLIENT" sheetId="12" state="hidden" r:id="rId4"/>
  </sheets>
  <definedNames>
    <definedName name="_xlnm._FilterDatabase" localSheetId="3" hidden="1">BASE_CLIENT!$Z$1:$Z$13</definedName>
    <definedName name="DonnéesExternes_1" localSheetId="0" hidden="1">DONNÉES_PQ!$A$1:$Z$9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2" i="13" l="1"/>
  <c r="L6" i="13"/>
  <c r="M502" i="4"/>
  <c r="U502" i="4" s="1"/>
  <c r="T502" i="4" s="1"/>
  <c r="M503" i="4"/>
  <c r="U503" i="4" s="1"/>
  <c r="T503" i="4" s="1"/>
  <c r="M504" i="4"/>
  <c r="U504" i="4" s="1"/>
  <c r="T504" i="4" s="1"/>
  <c r="M505" i="4"/>
  <c r="M506" i="4"/>
  <c r="M507" i="4"/>
  <c r="M508" i="4"/>
  <c r="U508" i="4" s="1"/>
  <c r="T508" i="4" s="1"/>
  <c r="M509" i="4"/>
  <c r="U509" i="4" s="1"/>
  <c r="T509" i="4" s="1"/>
  <c r="M510" i="4"/>
  <c r="M511" i="4"/>
  <c r="M512" i="4"/>
  <c r="M513" i="4"/>
  <c r="M514" i="4"/>
  <c r="M515" i="4"/>
  <c r="U515" i="4" s="1"/>
  <c r="T515" i="4" s="1"/>
  <c r="M516" i="4"/>
  <c r="U516" i="4" s="1"/>
  <c r="T516" i="4" s="1"/>
  <c r="M517" i="4"/>
  <c r="M518" i="4"/>
  <c r="M519" i="4"/>
  <c r="U519" i="4" s="1"/>
  <c r="T519" i="4" s="1"/>
  <c r="M520" i="4"/>
  <c r="U520" i="4" s="1"/>
  <c r="T520" i="4" s="1"/>
  <c r="M521" i="4"/>
  <c r="U521" i="4" s="1"/>
  <c r="T521" i="4" s="1"/>
  <c r="M522" i="4"/>
  <c r="U522" i="4" s="1"/>
  <c r="T522" i="4" s="1"/>
  <c r="M523" i="4"/>
  <c r="M524" i="4"/>
  <c r="U524" i="4" s="1"/>
  <c r="T524" i="4" s="1"/>
  <c r="M525" i="4"/>
  <c r="U525" i="4" s="1"/>
  <c r="T525" i="4" s="1"/>
  <c r="M526" i="4"/>
  <c r="U526" i="4" s="1"/>
  <c r="T526" i="4" s="1"/>
  <c r="M527" i="4"/>
  <c r="U527" i="4" s="1"/>
  <c r="T527" i="4" s="1"/>
  <c r="M528" i="4"/>
  <c r="U528" i="4" s="1"/>
  <c r="T528" i="4" s="1"/>
  <c r="M529" i="4"/>
  <c r="U529" i="4" s="1"/>
  <c r="T529" i="4" s="1"/>
  <c r="M530" i="4"/>
  <c r="U530" i="4" s="1"/>
  <c r="T530" i="4" s="1"/>
  <c r="M531" i="4"/>
  <c r="U531" i="4" s="1"/>
  <c r="T531" i="4" s="1"/>
  <c r="M532" i="4"/>
  <c r="U532" i="4" s="1"/>
  <c r="T532" i="4" s="1"/>
  <c r="M533" i="4"/>
  <c r="U533" i="4" s="1"/>
  <c r="T533" i="4" s="1"/>
  <c r="M534" i="4"/>
  <c r="U534" i="4" s="1"/>
  <c r="T534" i="4" s="1"/>
  <c r="M535" i="4"/>
  <c r="U535" i="4" s="1"/>
  <c r="T535" i="4" s="1"/>
  <c r="M536" i="4"/>
  <c r="U536" i="4" s="1"/>
  <c r="T536" i="4" s="1"/>
  <c r="M537" i="4"/>
  <c r="U537" i="4" s="1"/>
  <c r="T537" i="4" s="1"/>
  <c r="M538" i="4"/>
  <c r="U538" i="4" s="1"/>
  <c r="T538" i="4" s="1"/>
  <c r="M539" i="4"/>
  <c r="U539" i="4" s="1"/>
  <c r="T539" i="4" s="1"/>
  <c r="M540" i="4"/>
  <c r="U540" i="4" s="1"/>
  <c r="T540" i="4" s="1"/>
  <c r="M541" i="4"/>
  <c r="U541" i="4" s="1"/>
  <c r="T541" i="4" s="1"/>
  <c r="M542" i="4"/>
  <c r="U542" i="4" s="1"/>
  <c r="T542" i="4" s="1"/>
  <c r="M543" i="4"/>
  <c r="M544" i="4"/>
  <c r="U544" i="4" s="1"/>
  <c r="T544" i="4" s="1"/>
  <c r="M545" i="4"/>
  <c r="U545" i="4" s="1"/>
  <c r="T545" i="4" s="1"/>
  <c r="M546" i="4"/>
  <c r="U546" i="4" s="1"/>
  <c r="T546" i="4" s="1"/>
  <c r="M547" i="4"/>
  <c r="M548" i="4"/>
  <c r="M549" i="4"/>
  <c r="M550" i="4"/>
  <c r="M551" i="4"/>
  <c r="U551" i="4" s="1"/>
  <c r="T551" i="4" s="1"/>
  <c r="M552" i="4"/>
  <c r="U552" i="4" s="1"/>
  <c r="T552" i="4" s="1"/>
  <c r="M553" i="4"/>
  <c r="U553" i="4" s="1"/>
  <c r="T553" i="4" s="1"/>
  <c r="M554" i="4"/>
  <c r="U554" i="4" s="1"/>
  <c r="T554" i="4" s="1"/>
  <c r="M555" i="4"/>
  <c r="U555" i="4" s="1"/>
  <c r="T555" i="4" s="1"/>
  <c r="M556" i="4"/>
  <c r="U556" i="4" s="1"/>
  <c r="T556" i="4" s="1"/>
  <c r="M557" i="4"/>
  <c r="U557" i="4" s="1"/>
  <c r="T557" i="4" s="1"/>
  <c r="M558" i="4"/>
  <c r="U558" i="4" s="1"/>
  <c r="T558" i="4" s="1"/>
  <c r="M559" i="4"/>
  <c r="U559" i="4" s="1"/>
  <c r="T559" i="4" s="1"/>
  <c r="M560" i="4"/>
  <c r="U560" i="4" s="1"/>
  <c r="T560" i="4" s="1"/>
  <c r="M561" i="4"/>
  <c r="U561" i="4" s="1"/>
  <c r="T561" i="4" s="1"/>
  <c r="M562" i="4"/>
  <c r="U562" i="4" s="1"/>
  <c r="T562" i="4" s="1"/>
  <c r="M563" i="4"/>
  <c r="U563" i="4" s="1"/>
  <c r="T563" i="4" s="1"/>
  <c r="M564" i="4"/>
  <c r="U564" i="4" s="1"/>
  <c r="T564" i="4" s="1"/>
  <c r="M565" i="4"/>
  <c r="M566" i="4"/>
  <c r="M567" i="4"/>
  <c r="M568" i="4"/>
  <c r="U568" i="4" s="1"/>
  <c r="T568" i="4" s="1"/>
  <c r="M569" i="4"/>
  <c r="U569" i="4" s="1"/>
  <c r="T569" i="4" s="1"/>
  <c r="M570" i="4"/>
  <c r="U570" i="4" s="1"/>
  <c r="T570" i="4" s="1"/>
  <c r="M571" i="4"/>
  <c r="U571" i="4" s="1"/>
  <c r="T571" i="4" s="1"/>
  <c r="M572" i="4"/>
  <c r="U572" i="4" s="1"/>
  <c r="T572" i="4" s="1"/>
  <c r="M573" i="4"/>
  <c r="U573" i="4" s="1"/>
  <c r="T573" i="4" s="1"/>
  <c r="M574" i="4"/>
  <c r="U574" i="4" s="1"/>
  <c r="T574" i="4" s="1"/>
  <c r="M575" i="4"/>
  <c r="U575" i="4" s="1"/>
  <c r="T575" i="4" s="1"/>
  <c r="M576" i="4"/>
  <c r="U576" i="4" s="1"/>
  <c r="T576" i="4" s="1"/>
  <c r="M577" i="4"/>
  <c r="U577" i="4" s="1"/>
  <c r="T577" i="4" s="1"/>
  <c r="M578" i="4"/>
  <c r="U578" i="4" s="1"/>
  <c r="T578" i="4" s="1"/>
  <c r="M579" i="4"/>
  <c r="U579" i="4" s="1"/>
  <c r="T579" i="4" s="1"/>
  <c r="M580" i="4"/>
  <c r="U580" i="4" s="1"/>
  <c r="T580" i="4" s="1"/>
  <c r="M581" i="4"/>
  <c r="U581" i="4" s="1"/>
  <c r="T581" i="4" s="1"/>
  <c r="M582" i="4"/>
  <c r="U582" i="4" s="1"/>
  <c r="T582" i="4" s="1"/>
  <c r="M583" i="4"/>
  <c r="M584" i="4"/>
  <c r="M585" i="4"/>
  <c r="M586" i="4"/>
  <c r="U586" i="4" s="1"/>
  <c r="T586" i="4" s="1"/>
  <c r="M587" i="4"/>
  <c r="U587" i="4" s="1"/>
  <c r="T587" i="4" s="1"/>
  <c r="M588" i="4"/>
  <c r="U588" i="4" s="1"/>
  <c r="T588" i="4" s="1"/>
  <c r="M589" i="4"/>
  <c r="M590" i="4"/>
  <c r="M591" i="4"/>
  <c r="M592" i="4"/>
  <c r="U592" i="4" s="1"/>
  <c r="T592" i="4" s="1"/>
  <c r="M593" i="4"/>
  <c r="U593" i="4" s="1"/>
  <c r="T593" i="4" s="1"/>
  <c r="M594" i="4"/>
  <c r="U594" i="4" s="1"/>
  <c r="T594" i="4" s="1"/>
  <c r="M595" i="4"/>
  <c r="U595" i="4" s="1"/>
  <c r="T595" i="4" s="1"/>
  <c r="M596" i="4"/>
  <c r="U596" i="4" s="1"/>
  <c r="T596" i="4" s="1"/>
  <c r="M597" i="4"/>
  <c r="U597" i="4" s="1"/>
  <c r="T597" i="4" s="1"/>
  <c r="M598" i="4"/>
  <c r="U598" i="4" s="1"/>
  <c r="T598" i="4" s="1"/>
  <c r="M599" i="4"/>
  <c r="U599" i="4" s="1"/>
  <c r="T599" i="4" s="1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O502" i="4"/>
  <c r="P502" i="4" s="1"/>
  <c r="O503" i="4"/>
  <c r="P503" i="4" s="1"/>
  <c r="O504" i="4"/>
  <c r="P504" i="4" s="1"/>
  <c r="O505" i="4"/>
  <c r="P505" i="4" s="1"/>
  <c r="O506" i="4"/>
  <c r="P506" i="4" s="1"/>
  <c r="O507" i="4"/>
  <c r="P507" i="4" s="1"/>
  <c r="O508" i="4"/>
  <c r="O509" i="4"/>
  <c r="O510" i="4"/>
  <c r="P510" i="4" s="1"/>
  <c r="O511" i="4"/>
  <c r="P511" i="4" s="1"/>
  <c r="O512" i="4"/>
  <c r="P512" i="4" s="1"/>
  <c r="O513" i="4"/>
  <c r="P513" i="4" s="1"/>
  <c r="O514" i="4"/>
  <c r="P514" i="4" s="1"/>
  <c r="O515" i="4"/>
  <c r="P515" i="4" s="1"/>
  <c r="O516" i="4"/>
  <c r="P516" i="4" s="1"/>
  <c r="O517" i="4"/>
  <c r="P517" i="4" s="1"/>
  <c r="O518" i="4"/>
  <c r="P518" i="4" s="1"/>
  <c r="O519" i="4"/>
  <c r="P519" i="4" s="1"/>
  <c r="O520" i="4"/>
  <c r="P520" i="4" s="1"/>
  <c r="O521" i="4"/>
  <c r="P521" i="4" s="1"/>
  <c r="O522" i="4"/>
  <c r="P522" i="4" s="1"/>
  <c r="O523" i="4"/>
  <c r="P523" i="4" s="1"/>
  <c r="O524" i="4"/>
  <c r="P524" i="4" s="1"/>
  <c r="O525" i="4"/>
  <c r="P525" i="4" s="1"/>
  <c r="O526" i="4"/>
  <c r="O527" i="4"/>
  <c r="O528" i="4"/>
  <c r="O529" i="4"/>
  <c r="O530" i="4"/>
  <c r="P530" i="4" s="1"/>
  <c r="O531" i="4"/>
  <c r="P531" i="4" s="1"/>
  <c r="O532" i="4"/>
  <c r="O533" i="4"/>
  <c r="P533" i="4" s="1"/>
  <c r="O534" i="4"/>
  <c r="P534" i="4" s="1"/>
  <c r="O535" i="4"/>
  <c r="P535" i="4" s="1"/>
  <c r="O536" i="4"/>
  <c r="P536" i="4" s="1"/>
  <c r="O537" i="4"/>
  <c r="P537" i="4" s="1"/>
  <c r="O538" i="4"/>
  <c r="P538" i="4" s="1"/>
  <c r="O539" i="4"/>
  <c r="P539" i="4" s="1"/>
  <c r="O540" i="4"/>
  <c r="P540" i="4" s="1"/>
  <c r="O541" i="4"/>
  <c r="P541" i="4" s="1"/>
  <c r="O542" i="4"/>
  <c r="P542" i="4" s="1"/>
  <c r="O543" i="4"/>
  <c r="P543" i="4" s="1"/>
  <c r="O544" i="4"/>
  <c r="P544" i="4" s="1"/>
  <c r="O545" i="4"/>
  <c r="P545" i="4" s="1"/>
  <c r="O546" i="4"/>
  <c r="P546" i="4" s="1"/>
  <c r="O547" i="4"/>
  <c r="O548" i="4"/>
  <c r="P548" i="4" s="1"/>
  <c r="O549" i="4"/>
  <c r="P549" i="4" s="1"/>
  <c r="O550" i="4"/>
  <c r="P550" i="4" s="1"/>
  <c r="O551" i="4"/>
  <c r="P551" i="4" s="1"/>
  <c r="O552" i="4"/>
  <c r="O553" i="4"/>
  <c r="O554" i="4"/>
  <c r="P554" i="4" s="1"/>
  <c r="O555" i="4"/>
  <c r="P555" i="4" s="1"/>
  <c r="O556" i="4"/>
  <c r="O557" i="4"/>
  <c r="O558" i="4"/>
  <c r="O559" i="4"/>
  <c r="O560" i="4"/>
  <c r="P560" i="4" s="1"/>
  <c r="O561" i="4"/>
  <c r="P561" i="4" s="1"/>
  <c r="O562" i="4"/>
  <c r="P562" i="4" s="1"/>
  <c r="O563" i="4"/>
  <c r="P563" i="4" s="1"/>
  <c r="O564" i="4"/>
  <c r="P564" i="4" s="1"/>
  <c r="O565" i="4"/>
  <c r="P565" i="4" s="1"/>
  <c r="O566" i="4"/>
  <c r="P566" i="4" s="1"/>
  <c r="O567" i="4"/>
  <c r="P567" i="4" s="1"/>
  <c r="O568" i="4"/>
  <c r="O569" i="4"/>
  <c r="O570" i="4"/>
  <c r="P570" i="4" s="1"/>
  <c r="O571" i="4"/>
  <c r="P571" i="4" s="1"/>
  <c r="O572" i="4"/>
  <c r="P572" i="4" s="1"/>
  <c r="O573" i="4"/>
  <c r="P573" i="4" s="1"/>
  <c r="O574" i="4"/>
  <c r="P574" i="4" s="1"/>
  <c r="O575" i="4"/>
  <c r="P575" i="4" s="1"/>
  <c r="O576" i="4"/>
  <c r="P576" i="4" s="1"/>
  <c r="O577" i="4"/>
  <c r="P577" i="4" s="1"/>
  <c r="O578" i="4"/>
  <c r="P578" i="4" s="1"/>
  <c r="O579" i="4"/>
  <c r="P579" i="4" s="1"/>
  <c r="O580" i="4"/>
  <c r="P580" i="4" s="1"/>
  <c r="O581" i="4"/>
  <c r="P581" i="4" s="1"/>
  <c r="O582" i="4"/>
  <c r="P582" i="4" s="1"/>
  <c r="O583" i="4"/>
  <c r="P583" i="4" s="1"/>
  <c r="O584" i="4"/>
  <c r="P584" i="4" s="1"/>
  <c r="O585" i="4"/>
  <c r="P585" i="4" s="1"/>
  <c r="O586" i="4"/>
  <c r="O587" i="4"/>
  <c r="O588" i="4"/>
  <c r="O589" i="4"/>
  <c r="P589" i="4" s="1"/>
  <c r="O590" i="4"/>
  <c r="P590" i="4" s="1"/>
  <c r="O591" i="4"/>
  <c r="P591" i="4" s="1"/>
  <c r="O592" i="4"/>
  <c r="P592" i="4" s="1"/>
  <c r="O593" i="4"/>
  <c r="P593" i="4" s="1"/>
  <c r="O594" i="4"/>
  <c r="O595" i="4"/>
  <c r="O596" i="4"/>
  <c r="P596" i="4" s="1"/>
  <c r="O597" i="4"/>
  <c r="P597" i="4" s="1"/>
  <c r="O598" i="4"/>
  <c r="P598" i="4" s="1"/>
  <c r="O599" i="4"/>
  <c r="P599" i="4" s="1"/>
  <c r="P508" i="4"/>
  <c r="P509" i="4"/>
  <c r="P526" i="4"/>
  <c r="P527" i="4"/>
  <c r="P528" i="4"/>
  <c r="P529" i="4"/>
  <c r="P532" i="4"/>
  <c r="P547" i="4"/>
  <c r="P552" i="4"/>
  <c r="P553" i="4"/>
  <c r="P556" i="4"/>
  <c r="P557" i="4"/>
  <c r="P558" i="4"/>
  <c r="P559" i="4"/>
  <c r="P568" i="4"/>
  <c r="P569" i="4"/>
  <c r="P586" i="4"/>
  <c r="P587" i="4"/>
  <c r="P588" i="4"/>
  <c r="P594" i="4"/>
  <c r="P595" i="4"/>
  <c r="U505" i="4"/>
  <c r="T505" i="4" s="1"/>
  <c r="U506" i="4"/>
  <c r="T506" i="4" s="1"/>
  <c r="U507" i="4"/>
  <c r="T507" i="4" s="1"/>
  <c r="U510" i="4"/>
  <c r="T510" i="4" s="1"/>
  <c r="U511" i="4"/>
  <c r="T511" i="4" s="1"/>
  <c r="U512" i="4"/>
  <c r="T512" i="4" s="1"/>
  <c r="U513" i="4"/>
  <c r="T513" i="4" s="1"/>
  <c r="U514" i="4"/>
  <c r="T514" i="4" s="1"/>
  <c r="U517" i="4"/>
  <c r="T517" i="4" s="1"/>
  <c r="U518" i="4"/>
  <c r="T518" i="4" s="1"/>
  <c r="U523" i="4"/>
  <c r="T523" i="4" s="1"/>
  <c r="U543" i="4"/>
  <c r="T543" i="4" s="1"/>
  <c r="U547" i="4"/>
  <c r="T547" i="4" s="1"/>
  <c r="U548" i="4"/>
  <c r="T548" i="4" s="1"/>
  <c r="U549" i="4"/>
  <c r="T549" i="4" s="1"/>
  <c r="U550" i="4"/>
  <c r="T550" i="4" s="1"/>
  <c r="U565" i="4"/>
  <c r="T565" i="4" s="1"/>
  <c r="U566" i="4"/>
  <c r="T566" i="4" s="1"/>
  <c r="U567" i="4"/>
  <c r="T567" i="4" s="1"/>
  <c r="U583" i="4"/>
  <c r="T583" i="4" s="1"/>
  <c r="U584" i="4"/>
  <c r="T584" i="4" s="1"/>
  <c r="U585" i="4"/>
  <c r="T585" i="4" s="1"/>
  <c r="U589" i="4"/>
  <c r="T589" i="4" s="1"/>
  <c r="U590" i="4"/>
  <c r="T590" i="4" s="1"/>
  <c r="U591" i="4"/>
  <c r="T591" i="4" s="1"/>
  <c r="M434" i="12"/>
  <c r="M435" i="12"/>
  <c r="M436" i="12"/>
  <c r="M437" i="12"/>
  <c r="M438" i="12"/>
  <c r="M439" i="12"/>
  <c r="M440" i="12"/>
  <c r="M441" i="12"/>
  <c r="M442" i="12"/>
  <c r="M443" i="12"/>
  <c r="M444" i="12"/>
  <c r="M445" i="12"/>
  <c r="U445" i="12" s="1"/>
  <c r="T445" i="12" s="1"/>
  <c r="M446" i="12"/>
  <c r="M447" i="12"/>
  <c r="M448" i="12"/>
  <c r="M449" i="12"/>
  <c r="M450" i="12"/>
  <c r="M451" i="12"/>
  <c r="M452" i="12"/>
  <c r="M453" i="12"/>
  <c r="M454" i="12"/>
  <c r="M455" i="12"/>
  <c r="M456" i="12"/>
  <c r="M457" i="12"/>
  <c r="U457" i="12" s="1"/>
  <c r="T457" i="12" s="1"/>
  <c r="M458" i="12"/>
  <c r="M459" i="12"/>
  <c r="M460" i="12"/>
  <c r="M461" i="12"/>
  <c r="M462" i="12"/>
  <c r="M463" i="12"/>
  <c r="M464" i="12"/>
  <c r="M465" i="12"/>
  <c r="M466" i="12"/>
  <c r="M467" i="12"/>
  <c r="M468" i="12"/>
  <c r="M469" i="12"/>
  <c r="U469" i="12" s="1"/>
  <c r="T469" i="12" s="1"/>
  <c r="M470" i="12"/>
  <c r="M471" i="12"/>
  <c r="M472" i="12"/>
  <c r="M473" i="12"/>
  <c r="M474" i="12"/>
  <c r="M475" i="12"/>
  <c r="M476" i="12"/>
  <c r="M477" i="12"/>
  <c r="M478" i="12"/>
  <c r="M479" i="12"/>
  <c r="M480" i="12"/>
  <c r="M481" i="12"/>
  <c r="U481" i="12" s="1"/>
  <c r="T481" i="12" s="1"/>
  <c r="M482" i="12"/>
  <c r="M483" i="12"/>
  <c r="M484" i="12"/>
  <c r="M485" i="12"/>
  <c r="M486" i="12"/>
  <c r="M487" i="12"/>
  <c r="M488" i="12"/>
  <c r="M489" i="12"/>
  <c r="M490" i="12"/>
  <c r="M491" i="12"/>
  <c r="N434" i="12"/>
  <c r="N435" i="12"/>
  <c r="N436" i="12"/>
  <c r="N437" i="12"/>
  <c r="N438" i="12"/>
  <c r="N439" i="12"/>
  <c r="N440" i="12"/>
  <c r="N441" i="12"/>
  <c r="N442" i="12"/>
  <c r="N443" i="12"/>
  <c r="N444" i="12"/>
  <c r="N445" i="12"/>
  <c r="N446" i="12"/>
  <c r="N447" i="12"/>
  <c r="N448" i="12"/>
  <c r="N449" i="12"/>
  <c r="N450" i="12"/>
  <c r="N451" i="12"/>
  <c r="N452" i="12"/>
  <c r="N453" i="12"/>
  <c r="N454" i="12"/>
  <c r="N455" i="12"/>
  <c r="N456" i="12"/>
  <c r="N457" i="12"/>
  <c r="N458" i="12"/>
  <c r="N459" i="12"/>
  <c r="N460" i="12"/>
  <c r="N461" i="12"/>
  <c r="N462" i="12"/>
  <c r="N463" i="12"/>
  <c r="N464" i="12"/>
  <c r="N465" i="12"/>
  <c r="N466" i="12"/>
  <c r="N467" i="12"/>
  <c r="N468" i="12"/>
  <c r="N469" i="12"/>
  <c r="N470" i="12"/>
  <c r="N471" i="12"/>
  <c r="N472" i="12"/>
  <c r="N473" i="12"/>
  <c r="N474" i="12"/>
  <c r="N475" i="12"/>
  <c r="N476" i="12"/>
  <c r="N477" i="12"/>
  <c r="N478" i="12"/>
  <c r="N479" i="12"/>
  <c r="N480" i="12"/>
  <c r="N481" i="12"/>
  <c r="N482" i="12"/>
  <c r="N483" i="12"/>
  <c r="N484" i="12"/>
  <c r="N485" i="12"/>
  <c r="N486" i="12"/>
  <c r="N487" i="12"/>
  <c r="N488" i="12"/>
  <c r="N489" i="12"/>
  <c r="N490" i="12"/>
  <c r="N491" i="12"/>
  <c r="O434" i="12"/>
  <c r="O435" i="12"/>
  <c r="P435" i="12" s="1"/>
  <c r="O436" i="12"/>
  <c r="O437" i="12"/>
  <c r="P437" i="12" s="1"/>
  <c r="O438" i="12"/>
  <c r="O439" i="12"/>
  <c r="O440" i="12"/>
  <c r="P440" i="12" s="1"/>
  <c r="O441" i="12"/>
  <c r="O442" i="12"/>
  <c r="O443" i="12"/>
  <c r="O444" i="12"/>
  <c r="O445" i="12"/>
  <c r="O446" i="12"/>
  <c r="O447" i="12"/>
  <c r="P447" i="12" s="1"/>
  <c r="O448" i="12"/>
  <c r="O449" i="12"/>
  <c r="P449" i="12" s="1"/>
  <c r="O450" i="12"/>
  <c r="O451" i="12"/>
  <c r="O452" i="12"/>
  <c r="P452" i="12" s="1"/>
  <c r="O453" i="12"/>
  <c r="O454" i="12"/>
  <c r="O455" i="12"/>
  <c r="O456" i="12"/>
  <c r="O457" i="12"/>
  <c r="O458" i="12"/>
  <c r="O459" i="12"/>
  <c r="P459" i="12" s="1"/>
  <c r="O460" i="12"/>
  <c r="O461" i="12"/>
  <c r="P461" i="12" s="1"/>
  <c r="O462" i="12"/>
  <c r="O463" i="12"/>
  <c r="O464" i="12"/>
  <c r="P464" i="12" s="1"/>
  <c r="O465" i="12"/>
  <c r="O466" i="12"/>
  <c r="O467" i="12"/>
  <c r="O468" i="12"/>
  <c r="O469" i="12"/>
  <c r="O470" i="12"/>
  <c r="O471" i="12"/>
  <c r="P471" i="12" s="1"/>
  <c r="O472" i="12"/>
  <c r="O473" i="12"/>
  <c r="P473" i="12" s="1"/>
  <c r="O474" i="12"/>
  <c r="O475" i="12"/>
  <c r="O476" i="12"/>
  <c r="P476" i="12" s="1"/>
  <c r="O477" i="12"/>
  <c r="O478" i="12"/>
  <c r="O479" i="12"/>
  <c r="O480" i="12"/>
  <c r="O481" i="12"/>
  <c r="O482" i="12"/>
  <c r="O483" i="12"/>
  <c r="P483" i="12" s="1"/>
  <c r="O484" i="12"/>
  <c r="O485" i="12"/>
  <c r="P485" i="12" s="1"/>
  <c r="O486" i="12"/>
  <c r="O487" i="12"/>
  <c r="O488" i="12"/>
  <c r="P488" i="12" s="1"/>
  <c r="O489" i="12"/>
  <c r="O490" i="12"/>
  <c r="O491" i="12"/>
  <c r="P434" i="12"/>
  <c r="P436" i="12"/>
  <c r="P438" i="12"/>
  <c r="P439" i="12"/>
  <c r="P441" i="12"/>
  <c r="P442" i="12"/>
  <c r="P443" i="12"/>
  <c r="P444" i="12"/>
  <c r="P445" i="12"/>
  <c r="P446" i="12"/>
  <c r="P448" i="12"/>
  <c r="P450" i="12"/>
  <c r="P451" i="12"/>
  <c r="P453" i="12"/>
  <c r="P454" i="12"/>
  <c r="P455" i="12"/>
  <c r="P456" i="12"/>
  <c r="P457" i="12"/>
  <c r="P458" i="12"/>
  <c r="P460" i="12"/>
  <c r="P462" i="12"/>
  <c r="P463" i="12"/>
  <c r="P465" i="12"/>
  <c r="P466" i="12"/>
  <c r="P467" i="12"/>
  <c r="P468" i="12"/>
  <c r="P469" i="12"/>
  <c r="P470" i="12"/>
  <c r="P472" i="12"/>
  <c r="P474" i="12"/>
  <c r="P475" i="12"/>
  <c r="P477" i="12"/>
  <c r="P478" i="12"/>
  <c r="P479" i="12"/>
  <c r="P480" i="12"/>
  <c r="P481" i="12"/>
  <c r="P482" i="12"/>
  <c r="P484" i="12"/>
  <c r="P486" i="12"/>
  <c r="P487" i="12"/>
  <c r="P489" i="12"/>
  <c r="P490" i="12"/>
  <c r="P491" i="12"/>
  <c r="T439" i="12"/>
  <c r="T441" i="12"/>
  <c r="T444" i="12"/>
  <c r="T451" i="12"/>
  <c r="T453" i="12"/>
  <c r="T456" i="12"/>
  <c r="T463" i="12"/>
  <c r="T465" i="12"/>
  <c r="T468" i="12"/>
  <c r="T475" i="12"/>
  <c r="T477" i="12"/>
  <c r="T480" i="12"/>
  <c r="T487" i="12"/>
  <c r="T489" i="12"/>
  <c r="U434" i="12"/>
  <c r="T434" i="12" s="1"/>
  <c r="U435" i="12"/>
  <c r="T435" i="12" s="1"/>
  <c r="U436" i="12"/>
  <c r="T436" i="12" s="1"/>
  <c r="U437" i="12"/>
  <c r="T437" i="12" s="1"/>
  <c r="U438" i="12"/>
  <c r="T438" i="12" s="1"/>
  <c r="U439" i="12"/>
  <c r="U440" i="12"/>
  <c r="T440" i="12" s="1"/>
  <c r="U441" i="12"/>
  <c r="U442" i="12"/>
  <c r="T442" i="12" s="1"/>
  <c r="U443" i="12"/>
  <c r="T443" i="12" s="1"/>
  <c r="U444" i="12"/>
  <c r="U446" i="12"/>
  <c r="T446" i="12" s="1"/>
  <c r="U447" i="12"/>
  <c r="T447" i="12" s="1"/>
  <c r="U448" i="12"/>
  <c r="T448" i="12" s="1"/>
  <c r="U449" i="12"/>
  <c r="T449" i="12" s="1"/>
  <c r="U450" i="12"/>
  <c r="T450" i="12" s="1"/>
  <c r="U451" i="12"/>
  <c r="U452" i="12"/>
  <c r="T452" i="12" s="1"/>
  <c r="U453" i="12"/>
  <c r="U454" i="12"/>
  <c r="T454" i="12" s="1"/>
  <c r="U455" i="12"/>
  <c r="T455" i="12" s="1"/>
  <c r="U456" i="12"/>
  <c r="U458" i="12"/>
  <c r="T458" i="12" s="1"/>
  <c r="U459" i="12"/>
  <c r="T459" i="12" s="1"/>
  <c r="U460" i="12"/>
  <c r="T460" i="12" s="1"/>
  <c r="U461" i="12"/>
  <c r="T461" i="12" s="1"/>
  <c r="U462" i="12"/>
  <c r="T462" i="12" s="1"/>
  <c r="U463" i="12"/>
  <c r="U464" i="12"/>
  <c r="T464" i="12" s="1"/>
  <c r="U465" i="12"/>
  <c r="U466" i="12"/>
  <c r="T466" i="12" s="1"/>
  <c r="U467" i="12"/>
  <c r="T467" i="12" s="1"/>
  <c r="U468" i="12"/>
  <c r="U470" i="12"/>
  <c r="T470" i="12" s="1"/>
  <c r="U471" i="12"/>
  <c r="T471" i="12" s="1"/>
  <c r="U472" i="12"/>
  <c r="T472" i="12" s="1"/>
  <c r="U473" i="12"/>
  <c r="T473" i="12" s="1"/>
  <c r="U474" i="12"/>
  <c r="T474" i="12" s="1"/>
  <c r="U475" i="12"/>
  <c r="U476" i="12"/>
  <c r="T476" i="12" s="1"/>
  <c r="U477" i="12"/>
  <c r="U478" i="12"/>
  <c r="T478" i="12" s="1"/>
  <c r="U479" i="12"/>
  <c r="T479" i="12" s="1"/>
  <c r="U480" i="12"/>
  <c r="U482" i="12"/>
  <c r="T482" i="12" s="1"/>
  <c r="U483" i="12"/>
  <c r="T483" i="12" s="1"/>
  <c r="U484" i="12"/>
  <c r="T484" i="12" s="1"/>
  <c r="U485" i="12"/>
  <c r="T485" i="12" s="1"/>
  <c r="U486" i="12"/>
  <c r="T486" i="12" s="1"/>
  <c r="U487" i="12"/>
  <c r="U488" i="12"/>
  <c r="T488" i="12" s="1"/>
  <c r="U489" i="12"/>
  <c r="U490" i="12"/>
  <c r="T490" i="12" s="1"/>
  <c r="U491" i="12"/>
  <c r="T491" i="12" s="1"/>
  <c r="M378" i="12"/>
  <c r="M379" i="12"/>
  <c r="U379" i="12" s="1"/>
  <c r="T379" i="12" s="1"/>
  <c r="M380" i="12"/>
  <c r="U380" i="12" s="1"/>
  <c r="T380" i="12" s="1"/>
  <c r="M381" i="12"/>
  <c r="M382" i="12"/>
  <c r="M383" i="12"/>
  <c r="M384" i="12"/>
  <c r="M385" i="12"/>
  <c r="M386" i="12"/>
  <c r="M387" i="12"/>
  <c r="M388" i="12"/>
  <c r="M389" i="12"/>
  <c r="U389" i="12" s="1"/>
  <c r="T389" i="12" s="1"/>
  <c r="M390" i="12"/>
  <c r="M391" i="12"/>
  <c r="U391" i="12" s="1"/>
  <c r="T391" i="12" s="1"/>
  <c r="M392" i="12"/>
  <c r="U392" i="12" s="1"/>
  <c r="T392" i="12" s="1"/>
  <c r="M393" i="12"/>
  <c r="M394" i="12"/>
  <c r="M395" i="12"/>
  <c r="M396" i="12"/>
  <c r="M397" i="12"/>
  <c r="M398" i="12"/>
  <c r="M399" i="12"/>
  <c r="U399" i="12" s="1"/>
  <c r="T399" i="12" s="1"/>
  <c r="M400" i="12"/>
  <c r="M401" i="12"/>
  <c r="U401" i="12" s="1"/>
  <c r="T401" i="12" s="1"/>
  <c r="M402" i="12"/>
  <c r="M403" i="12"/>
  <c r="U403" i="12" s="1"/>
  <c r="T403" i="12" s="1"/>
  <c r="M404" i="12"/>
  <c r="U404" i="12" s="1"/>
  <c r="T404" i="12" s="1"/>
  <c r="M405" i="12"/>
  <c r="M406" i="12"/>
  <c r="M407" i="12"/>
  <c r="U407" i="12" s="1"/>
  <c r="T407" i="12" s="1"/>
  <c r="M408" i="12"/>
  <c r="U408" i="12" s="1"/>
  <c r="T408" i="12" s="1"/>
  <c r="M409" i="12"/>
  <c r="U409" i="12" s="1"/>
  <c r="T409" i="12" s="1"/>
  <c r="M410" i="12"/>
  <c r="U410" i="12" s="1"/>
  <c r="T410" i="12" s="1"/>
  <c r="M411" i="12"/>
  <c r="U411" i="12" s="1"/>
  <c r="T411" i="12" s="1"/>
  <c r="M412" i="12"/>
  <c r="M413" i="12"/>
  <c r="U413" i="12" s="1"/>
  <c r="T413" i="12" s="1"/>
  <c r="M414" i="12"/>
  <c r="M415" i="12"/>
  <c r="M416" i="12"/>
  <c r="U416" i="12" s="1"/>
  <c r="T416" i="12" s="1"/>
  <c r="M417" i="12"/>
  <c r="M418" i="12"/>
  <c r="M419" i="12"/>
  <c r="U419" i="12" s="1"/>
  <c r="T419" i="12" s="1"/>
  <c r="M420" i="12"/>
  <c r="U420" i="12" s="1"/>
  <c r="T420" i="12" s="1"/>
  <c r="M421" i="12"/>
  <c r="U421" i="12" s="1"/>
  <c r="T421" i="12" s="1"/>
  <c r="M422" i="12"/>
  <c r="U422" i="12" s="1"/>
  <c r="T422" i="12" s="1"/>
  <c r="M423" i="12"/>
  <c r="U423" i="12" s="1"/>
  <c r="T423" i="12" s="1"/>
  <c r="M424" i="12"/>
  <c r="M425" i="12"/>
  <c r="U425" i="12" s="1"/>
  <c r="T425" i="12" s="1"/>
  <c r="M426" i="12"/>
  <c r="M427" i="12"/>
  <c r="U427" i="12" s="1"/>
  <c r="T427" i="12" s="1"/>
  <c r="M428" i="12"/>
  <c r="U428" i="12" s="1"/>
  <c r="T428" i="12" s="1"/>
  <c r="M429" i="12"/>
  <c r="M430" i="12"/>
  <c r="M431" i="12"/>
  <c r="M432" i="12"/>
  <c r="U432" i="12" s="1"/>
  <c r="T432" i="12" s="1"/>
  <c r="M433" i="12"/>
  <c r="U433" i="12" s="1"/>
  <c r="T433" i="12" s="1"/>
  <c r="N378" i="12"/>
  <c r="N379" i="12"/>
  <c r="N380" i="12"/>
  <c r="N381" i="12"/>
  <c r="N382" i="12"/>
  <c r="N383" i="12"/>
  <c r="N384" i="12"/>
  <c r="N385" i="12"/>
  <c r="N386" i="12"/>
  <c r="N387" i="12"/>
  <c r="N388" i="12"/>
  <c r="N389" i="12"/>
  <c r="N390" i="12"/>
  <c r="N391" i="12"/>
  <c r="N392" i="12"/>
  <c r="N393" i="12"/>
  <c r="N394" i="12"/>
  <c r="N395" i="12"/>
  <c r="N396" i="12"/>
  <c r="N397" i="12"/>
  <c r="N398" i="12"/>
  <c r="N399" i="12"/>
  <c r="N400" i="12"/>
  <c r="N401" i="12"/>
  <c r="N402" i="12"/>
  <c r="N403" i="12"/>
  <c r="N404" i="12"/>
  <c r="N405" i="12"/>
  <c r="N406" i="12"/>
  <c r="N407" i="12"/>
  <c r="N408" i="12"/>
  <c r="N409" i="12"/>
  <c r="N410" i="12"/>
  <c r="N411" i="12"/>
  <c r="N412" i="12"/>
  <c r="N413" i="12"/>
  <c r="N414" i="12"/>
  <c r="N415" i="12"/>
  <c r="N416" i="12"/>
  <c r="N417" i="12"/>
  <c r="N418" i="12"/>
  <c r="N419" i="12"/>
  <c r="N420" i="12"/>
  <c r="N421" i="12"/>
  <c r="N422" i="12"/>
  <c r="N423" i="12"/>
  <c r="N424" i="12"/>
  <c r="N425" i="12"/>
  <c r="N426" i="12"/>
  <c r="N427" i="12"/>
  <c r="N428" i="12"/>
  <c r="N429" i="12"/>
  <c r="N430" i="12"/>
  <c r="N431" i="12"/>
  <c r="N432" i="12"/>
  <c r="N433" i="12"/>
  <c r="O378" i="12"/>
  <c r="O379" i="12"/>
  <c r="O380" i="12"/>
  <c r="O381" i="12"/>
  <c r="P381" i="12" s="1"/>
  <c r="O382" i="12"/>
  <c r="P382" i="12" s="1"/>
  <c r="O383" i="12"/>
  <c r="P383" i="12" s="1"/>
  <c r="O384" i="12"/>
  <c r="P384" i="12" s="1"/>
  <c r="O385" i="12"/>
  <c r="P385" i="12" s="1"/>
  <c r="O386" i="12"/>
  <c r="P386" i="12" s="1"/>
  <c r="O387" i="12"/>
  <c r="P387" i="12" s="1"/>
  <c r="O388" i="12"/>
  <c r="P388" i="12" s="1"/>
  <c r="O389" i="12"/>
  <c r="P389" i="12" s="1"/>
  <c r="O390" i="12"/>
  <c r="O391" i="12"/>
  <c r="P391" i="12" s="1"/>
  <c r="O392" i="12"/>
  <c r="P392" i="12" s="1"/>
  <c r="O393" i="12"/>
  <c r="O394" i="12"/>
  <c r="P394" i="12" s="1"/>
  <c r="O395" i="12"/>
  <c r="P395" i="12" s="1"/>
  <c r="O396" i="12"/>
  <c r="P396" i="12" s="1"/>
  <c r="O397" i="12"/>
  <c r="P397" i="12" s="1"/>
  <c r="O398" i="12"/>
  <c r="P398" i="12" s="1"/>
  <c r="O399" i="12"/>
  <c r="P399" i="12" s="1"/>
  <c r="O400" i="12"/>
  <c r="P400" i="12" s="1"/>
  <c r="O401" i="12"/>
  <c r="O402" i="12"/>
  <c r="O403" i="12"/>
  <c r="O404" i="12"/>
  <c r="O405" i="12"/>
  <c r="P405" i="12" s="1"/>
  <c r="O406" i="12"/>
  <c r="P406" i="12" s="1"/>
  <c r="O407" i="12"/>
  <c r="P407" i="12" s="1"/>
  <c r="O408" i="12"/>
  <c r="P408" i="12" s="1"/>
  <c r="O409" i="12"/>
  <c r="P409" i="12" s="1"/>
  <c r="O410" i="12"/>
  <c r="P410" i="12" s="1"/>
  <c r="O411" i="12"/>
  <c r="P411" i="12" s="1"/>
  <c r="O412" i="12"/>
  <c r="P412" i="12" s="1"/>
  <c r="O413" i="12"/>
  <c r="O414" i="12"/>
  <c r="O415" i="12"/>
  <c r="O416" i="12"/>
  <c r="P416" i="12" s="1"/>
  <c r="O417" i="12"/>
  <c r="P417" i="12" s="1"/>
  <c r="O418" i="12"/>
  <c r="P418" i="12" s="1"/>
  <c r="O419" i="12"/>
  <c r="P419" i="12" s="1"/>
  <c r="O420" i="12"/>
  <c r="P420" i="12" s="1"/>
  <c r="O421" i="12"/>
  <c r="P421" i="12" s="1"/>
  <c r="O422" i="12"/>
  <c r="P422" i="12" s="1"/>
  <c r="O423" i="12"/>
  <c r="P423" i="12" s="1"/>
  <c r="O424" i="12"/>
  <c r="P424" i="12" s="1"/>
  <c r="O425" i="12"/>
  <c r="O426" i="12"/>
  <c r="O427" i="12"/>
  <c r="P427" i="12" s="1"/>
  <c r="O428" i="12"/>
  <c r="P428" i="12" s="1"/>
  <c r="O429" i="12"/>
  <c r="P429" i="12" s="1"/>
  <c r="O430" i="12"/>
  <c r="P430" i="12" s="1"/>
  <c r="O431" i="12"/>
  <c r="P431" i="12" s="1"/>
  <c r="O432" i="12"/>
  <c r="P432" i="12" s="1"/>
  <c r="O433" i="12"/>
  <c r="P433" i="12" s="1"/>
  <c r="P378" i="12"/>
  <c r="P379" i="12"/>
  <c r="P380" i="12"/>
  <c r="P390" i="12"/>
  <c r="P393" i="12"/>
  <c r="P401" i="12"/>
  <c r="P402" i="12"/>
  <c r="P403" i="12"/>
  <c r="P404" i="12"/>
  <c r="P413" i="12"/>
  <c r="P414" i="12"/>
  <c r="P415" i="12"/>
  <c r="P425" i="12"/>
  <c r="P426" i="12"/>
  <c r="U378" i="12"/>
  <c r="T378" i="12" s="1"/>
  <c r="U381" i="12"/>
  <c r="T381" i="12" s="1"/>
  <c r="U382" i="12"/>
  <c r="T382" i="12" s="1"/>
  <c r="U383" i="12"/>
  <c r="T383" i="12" s="1"/>
  <c r="U384" i="12"/>
  <c r="T384" i="12" s="1"/>
  <c r="U385" i="12"/>
  <c r="T385" i="12" s="1"/>
  <c r="U386" i="12"/>
  <c r="T386" i="12" s="1"/>
  <c r="U387" i="12"/>
  <c r="T387" i="12" s="1"/>
  <c r="U388" i="12"/>
  <c r="T388" i="12" s="1"/>
  <c r="U390" i="12"/>
  <c r="T390" i="12" s="1"/>
  <c r="U393" i="12"/>
  <c r="T393" i="12" s="1"/>
  <c r="U394" i="12"/>
  <c r="T394" i="12" s="1"/>
  <c r="U395" i="12"/>
  <c r="T395" i="12" s="1"/>
  <c r="U396" i="12"/>
  <c r="T396" i="12" s="1"/>
  <c r="U397" i="12"/>
  <c r="T397" i="12" s="1"/>
  <c r="U398" i="12"/>
  <c r="T398" i="12" s="1"/>
  <c r="U400" i="12"/>
  <c r="T400" i="12" s="1"/>
  <c r="U402" i="12"/>
  <c r="T402" i="12" s="1"/>
  <c r="U405" i="12"/>
  <c r="T405" i="12" s="1"/>
  <c r="U406" i="12"/>
  <c r="T406" i="12" s="1"/>
  <c r="U412" i="12"/>
  <c r="T412" i="12" s="1"/>
  <c r="U414" i="12"/>
  <c r="T414" i="12" s="1"/>
  <c r="U415" i="12"/>
  <c r="T415" i="12" s="1"/>
  <c r="U417" i="12"/>
  <c r="T417" i="12" s="1"/>
  <c r="U418" i="12"/>
  <c r="T418" i="12" s="1"/>
  <c r="U424" i="12"/>
  <c r="T424" i="12" s="1"/>
  <c r="U426" i="12"/>
  <c r="T426" i="12" s="1"/>
  <c r="U429" i="12"/>
  <c r="T429" i="12" s="1"/>
  <c r="U430" i="12"/>
  <c r="T430" i="12" s="1"/>
  <c r="U431" i="12"/>
  <c r="T431" i="12" s="1"/>
  <c r="M313" i="12"/>
  <c r="U313" i="12" s="1"/>
  <c r="T313" i="12" s="1"/>
  <c r="M314" i="12"/>
  <c r="U314" i="12" s="1"/>
  <c r="T314" i="12" s="1"/>
  <c r="M315" i="12"/>
  <c r="U315" i="12" s="1"/>
  <c r="T315" i="12" s="1"/>
  <c r="M316" i="12"/>
  <c r="U316" i="12" s="1"/>
  <c r="T316" i="12" s="1"/>
  <c r="M317" i="12"/>
  <c r="M318" i="12"/>
  <c r="M319" i="12"/>
  <c r="U319" i="12" s="1"/>
  <c r="T319" i="12" s="1"/>
  <c r="M320" i="12"/>
  <c r="U320" i="12" s="1"/>
  <c r="T320" i="12" s="1"/>
  <c r="M321" i="12"/>
  <c r="M322" i="12"/>
  <c r="U322" i="12" s="1"/>
  <c r="T322" i="12" s="1"/>
  <c r="M323" i="12"/>
  <c r="U323" i="12" s="1"/>
  <c r="T323" i="12" s="1"/>
  <c r="M324" i="12"/>
  <c r="M325" i="12"/>
  <c r="U325" i="12" s="1"/>
  <c r="T325" i="12" s="1"/>
  <c r="M326" i="12"/>
  <c r="U326" i="12" s="1"/>
  <c r="T326" i="12" s="1"/>
  <c r="M327" i="12"/>
  <c r="U327" i="12" s="1"/>
  <c r="T327" i="12" s="1"/>
  <c r="M328" i="12"/>
  <c r="U328" i="12" s="1"/>
  <c r="T328" i="12" s="1"/>
  <c r="M329" i="12"/>
  <c r="U329" i="12" s="1"/>
  <c r="T329" i="12" s="1"/>
  <c r="M330" i="12"/>
  <c r="U330" i="12" s="1"/>
  <c r="T330" i="12" s="1"/>
  <c r="M331" i="12"/>
  <c r="U331" i="12" s="1"/>
  <c r="T331" i="12" s="1"/>
  <c r="M332" i="12"/>
  <c r="U332" i="12" s="1"/>
  <c r="T332" i="12" s="1"/>
  <c r="M333" i="12"/>
  <c r="M334" i="12"/>
  <c r="U334" i="12" s="1"/>
  <c r="T334" i="12" s="1"/>
  <c r="M335" i="12"/>
  <c r="U335" i="12" s="1"/>
  <c r="T335" i="12" s="1"/>
  <c r="M336" i="12"/>
  <c r="U336" i="12" s="1"/>
  <c r="T336" i="12" s="1"/>
  <c r="M337" i="12"/>
  <c r="U337" i="12" s="1"/>
  <c r="T337" i="12" s="1"/>
  <c r="M338" i="12"/>
  <c r="U338" i="12" s="1"/>
  <c r="T338" i="12" s="1"/>
  <c r="M339" i="12"/>
  <c r="U339" i="12" s="1"/>
  <c r="T339" i="12" s="1"/>
  <c r="M340" i="12"/>
  <c r="U340" i="12" s="1"/>
  <c r="T340" i="12" s="1"/>
  <c r="M341" i="12"/>
  <c r="U341" i="12" s="1"/>
  <c r="T341" i="12" s="1"/>
  <c r="M342" i="12"/>
  <c r="U342" i="12" s="1"/>
  <c r="T342" i="12" s="1"/>
  <c r="M343" i="12"/>
  <c r="U343" i="12" s="1"/>
  <c r="T343" i="12" s="1"/>
  <c r="M344" i="12"/>
  <c r="U344" i="12" s="1"/>
  <c r="T344" i="12" s="1"/>
  <c r="M345" i="12"/>
  <c r="U345" i="12" s="1"/>
  <c r="T345" i="12" s="1"/>
  <c r="M346" i="12"/>
  <c r="U346" i="12" s="1"/>
  <c r="T346" i="12" s="1"/>
  <c r="M347" i="12"/>
  <c r="U347" i="12" s="1"/>
  <c r="T347" i="12" s="1"/>
  <c r="M348" i="12"/>
  <c r="M349" i="12"/>
  <c r="U349" i="12" s="1"/>
  <c r="T349" i="12" s="1"/>
  <c r="M350" i="12"/>
  <c r="U350" i="12" s="1"/>
  <c r="T350" i="12" s="1"/>
  <c r="M351" i="12"/>
  <c r="U351" i="12" s="1"/>
  <c r="T351" i="12" s="1"/>
  <c r="M352" i="12"/>
  <c r="U352" i="12" s="1"/>
  <c r="T352" i="12" s="1"/>
  <c r="M353" i="12"/>
  <c r="U353" i="12" s="1"/>
  <c r="T353" i="12" s="1"/>
  <c r="M354" i="12"/>
  <c r="U354" i="12" s="1"/>
  <c r="T354" i="12" s="1"/>
  <c r="M355" i="12"/>
  <c r="U355" i="12" s="1"/>
  <c r="T355" i="12" s="1"/>
  <c r="M356" i="12"/>
  <c r="U356" i="12" s="1"/>
  <c r="T356" i="12" s="1"/>
  <c r="M357" i="12"/>
  <c r="M358" i="12"/>
  <c r="U358" i="12" s="1"/>
  <c r="T358" i="12" s="1"/>
  <c r="M359" i="12"/>
  <c r="U359" i="12" s="1"/>
  <c r="T359" i="12" s="1"/>
  <c r="M360" i="12"/>
  <c r="U360" i="12" s="1"/>
  <c r="T360" i="12" s="1"/>
  <c r="M361" i="12"/>
  <c r="U361" i="12" s="1"/>
  <c r="T361" i="12" s="1"/>
  <c r="M362" i="12"/>
  <c r="U362" i="12" s="1"/>
  <c r="T362" i="12" s="1"/>
  <c r="M363" i="12"/>
  <c r="U363" i="12" s="1"/>
  <c r="T363" i="12" s="1"/>
  <c r="M364" i="12"/>
  <c r="U364" i="12" s="1"/>
  <c r="T364" i="12" s="1"/>
  <c r="M365" i="12"/>
  <c r="M366" i="12"/>
  <c r="M367" i="12"/>
  <c r="U367" i="12" s="1"/>
  <c r="T367" i="12" s="1"/>
  <c r="M368" i="12"/>
  <c r="U368" i="12" s="1"/>
  <c r="T368" i="12" s="1"/>
  <c r="M369" i="12"/>
  <c r="M370" i="12"/>
  <c r="U370" i="12" s="1"/>
  <c r="T370" i="12" s="1"/>
  <c r="M371" i="12"/>
  <c r="U371" i="12" s="1"/>
  <c r="T371" i="12" s="1"/>
  <c r="M372" i="12"/>
  <c r="U372" i="12" s="1"/>
  <c r="T372" i="12" s="1"/>
  <c r="M373" i="12"/>
  <c r="U373" i="12" s="1"/>
  <c r="T373" i="12" s="1"/>
  <c r="M374" i="12"/>
  <c r="U374" i="12" s="1"/>
  <c r="T374" i="12" s="1"/>
  <c r="M375" i="12"/>
  <c r="U375" i="12" s="1"/>
  <c r="T375" i="12" s="1"/>
  <c r="M376" i="12"/>
  <c r="U376" i="12" s="1"/>
  <c r="T376" i="12" s="1"/>
  <c r="M377" i="12"/>
  <c r="U377" i="12" s="1"/>
  <c r="T377" i="12" s="1"/>
  <c r="N313" i="12"/>
  <c r="N314" i="12"/>
  <c r="N315" i="12"/>
  <c r="N316" i="12"/>
  <c r="N317" i="12"/>
  <c r="N318" i="12"/>
  <c r="N319" i="12"/>
  <c r="N320" i="12"/>
  <c r="N321" i="12"/>
  <c r="N322" i="12"/>
  <c r="N323" i="12"/>
  <c r="N324" i="12"/>
  <c r="N325" i="12"/>
  <c r="N326" i="12"/>
  <c r="N327" i="12"/>
  <c r="N328" i="12"/>
  <c r="N329" i="12"/>
  <c r="N330" i="12"/>
  <c r="N331" i="12"/>
  <c r="N332" i="12"/>
  <c r="N333" i="12"/>
  <c r="N334" i="12"/>
  <c r="N335" i="12"/>
  <c r="N336" i="12"/>
  <c r="N337" i="12"/>
  <c r="N338" i="12"/>
  <c r="N339" i="12"/>
  <c r="N340" i="12"/>
  <c r="N341" i="12"/>
  <c r="N342" i="12"/>
  <c r="N343" i="12"/>
  <c r="N344" i="12"/>
  <c r="N345" i="12"/>
  <c r="N346" i="12"/>
  <c r="N347" i="12"/>
  <c r="N348" i="12"/>
  <c r="N349" i="12"/>
  <c r="N350" i="12"/>
  <c r="N351" i="12"/>
  <c r="N352" i="12"/>
  <c r="N353" i="12"/>
  <c r="N354" i="12"/>
  <c r="N355" i="12"/>
  <c r="N356" i="12"/>
  <c r="N357" i="12"/>
  <c r="N358" i="12"/>
  <c r="N359" i="12"/>
  <c r="N360" i="12"/>
  <c r="N361" i="12"/>
  <c r="N362" i="12"/>
  <c r="N363" i="12"/>
  <c r="N364" i="12"/>
  <c r="N365" i="12"/>
  <c r="N366" i="12"/>
  <c r="N367" i="12"/>
  <c r="N368" i="12"/>
  <c r="N369" i="12"/>
  <c r="N370" i="12"/>
  <c r="N371" i="12"/>
  <c r="N372" i="12"/>
  <c r="N373" i="12"/>
  <c r="N374" i="12"/>
  <c r="N375" i="12"/>
  <c r="N376" i="12"/>
  <c r="N377" i="12"/>
  <c r="O313" i="12"/>
  <c r="P313" i="12" s="1"/>
  <c r="O314" i="12"/>
  <c r="P314" i="12" s="1"/>
  <c r="O315" i="12"/>
  <c r="P315" i="12" s="1"/>
  <c r="O316" i="12"/>
  <c r="P316" i="12" s="1"/>
  <c r="O317" i="12"/>
  <c r="P317" i="12" s="1"/>
  <c r="O318" i="12"/>
  <c r="P318" i="12" s="1"/>
  <c r="O319" i="12"/>
  <c r="P319" i="12" s="1"/>
  <c r="O320" i="12"/>
  <c r="P320" i="12" s="1"/>
  <c r="O321" i="12"/>
  <c r="P321" i="12" s="1"/>
  <c r="O322" i="12"/>
  <c r="P322" i="12" s="1"/>
  <c r="O323" i="12"/>
  <c r="P323" i="12" s="1"/>
  <c r="O324" i="12"/>
  <c r="P324" i="12" s="1"/>
  <c r="O325" i="12"/>
  <c r="P325" i="12" s="1"/>
  <c r="O326" i="12"/>
  <c r="P326" i="12" s="1"/>
  <c r="O327" i="12"/>
  <c r="P327" i="12" s="1"/>
  <c r="O328" i="12"/>
  <c r="P328" i="12" s="1"/>
  <c r="O329" i="12"/>
  <c r="P329" i="12" s="1"/>
  <c r="O330" i="12"/>
  <c r="P330" i="12" s="1"/>
  <c r="O331" i="12"/>
  <c r="P331" i="12" s="1"/>
  <c r="O332" i="12"/>
  <c r="P332" i="12" s="1"/>
  <c r="O333" i="12"/>
  <c r="P333" i="12" s="1"/>
  <c r="O334" i="12"/>
  <c r="P334" i="12" s="1"/>
  <c r="O335" i="12"/>
  <c r="O336" i="12"/>
  <c r="P336" i="12" s="1"/>
  <c r="O337" i="12"/>
  <c r="P337" i="12" s="1"/>
  <c r="O338" i="12"/>
  <c r="P338" i="12" s="1"/>
  <c r="O339" i="12"/>
  <c r="P339" i="12" s="1"/>
  <c r="O340" i="12"/>
  <c r="P340" i="12" s="1"/>
  <c r="O341" i="12"/>
  <c r="P341" i="12" s="1"/>
  <c r="O342" i="12"/>
  <c r="P342" i="12" s="1"/>
  <c r="O343" i="12"/>
  <c r="P343" i="12" s="1"/>
  <c r="O344" i="12"/>
  <c r="P344" i="12" s="1"/>
  <c r="O345" i="12"/>
  <c r="P345" i="12" s="1"/>
  <c r="O346" i="12"/>
  <c r="P346" i="12" s="1"/>
  <c r="O347" i="12"/>
  <c r="O348" i="12"/>
  <c r="O349" i="12"/>
  <c r="P349" i="12" s="1"/>
  <c r="O350" i="12"/>
  <c r="P350" i="12" s="1"/>
  <c r="O351" i="12"/>
  <c r="P351" i="12" s="1"/>
  <c r="O352" i="12"/>
  <c r="P352" i="12" s="1"/>
  <c r="O353" i="12"/>
  <c r="P353" i="12" s="1"/>
  <c r="O354" i="12"/>
  <c r="P354" i="12" s="1"/>
  <c r="O355" i="12"/>
  <c r="P355" i="12" s="1"/>
  <c r="O356" i="12"/>
  <c r="P356" i="12" s="1"/>
  <c r="O357" i="12"/>
  <c r="P357" i="12" s="1"/>
  <c r="O358" i="12"/>
  <c r="P358" i="12" s="1"/>
  <c r="O359" i="12"/>
  <c r="P359" i="12" s="1"/>
  <c r="O360" i="12"/>
  <c r="P360" i="12" s="1"/>
  <c r="O361" i="12"/>
  <c r="P361" i="12" s="1"/>
  <c r="O362" i="12"/>
  <c r="P362" i="12" s="1"/>
  <c r="O363" i="12"/>
  <c r="P363" i="12" s="1"/>
  <c r="O364" i="12"/>
  <c r="P364" i="12" s="1"/>
  <c r="O365" i="12"/>
  <c r="P365" i="12" s="1"/>
  <c r="O366" i="12"/>
  <c r="P366" i="12" s="1"/>
  <c r="O367" i="12"/>
  <c r="P367" i="12" s="1"/>
  <c r="O368" i="12"/>
  <c r="P368" i="12" s="1"/>
  <c r="O369" i="12"/>
  <c r="P369" i="12" s="1"/>
  <c r="O370" i="12"/>
  <c r="P370" i="12" s="1"/>
  <c r="O371" i="12"/>
  <c r="P371" i="12" s="1"/>
  <c r="O372" i="12"/>
  <c r="P372" i="12" s="1"/>
  <c r="O373" i="12"/>
  <c r="P373" i="12" s="1"/>
  <c r="O374" i="12"/>
  <c r="P374" i="12" s="1"/>
  <c r="O375" i="12"/>
  <c r="P375" i="12" s="1"/>
  <c r="O376" i="12"/>
  <c r="P376" i="12" s="1"/>
  <c r="O377" i="12"/>
  <c r="P377" i="12" s="1"/>
  <c r="P335" i="12"/>
  <c r="P347" i="12"/>
  <c r="P348" i="12"/>
  <c r="U317" i="12"/>
  <c r="T317" i="12" s="1"/>
  <c r="U318" i="12"/>
  <c r="T318" i="12" s="1"/>
  <c r="U321" i="12"/>
  <c r="T321" i="12" s="1"/>
  <c r="U324" i="12"/>
  <c r="T324" i="12" s="1"/>
  <c r="U333" i="12"/>
  <c r="T333" i="12" s="1"/>
  <c r="U348" i="12"/>
  <c r="T348" i="12" s="1"/>
  <c r="U357" i="12"/>
  <c r="T357" i="12" s="1"/>
  <c r="U365" i="12"/>
  <c r="T365" i="12" s="1"/>
  <c r="U366" i="12"/>
  <c r="T366" i="12" s="1"/>
  <c r="U369" i="12"/>
  <c r="T369" i="12" s="1"/>
  <c r="M312" i="12" l="1"/>
  <c r="U312" i="12" s="1"/>
  <c r="T312" i="12" s="1"/>
  <c r="N312" i="12"/>
  <c r="O312" i="12"/>
  <c r="P312" i="12" s="1"/>
  <c r="M179" i="12"/>
  <c r="U179" i="12" s="1"/>
  <c r="T179" i="12" s="1"/>
  <c r="M180" i="12"/>
  <c r="U180" i="12" s="1"/>
  <c r="T180" i="12" s="1"/>
  <c r="M181" i="12"/>
  <c r="M182" i="12"/>
  <c r="U182" i="12" s="1"/>
  <c r="T182" i="12" s="1"/>
  <c r="M183" i="12"/>
  <c r="M184" i="12"/>
  <c r="U184" i="12" s="1"/>
  <c r="T184" i="12" s="1"/>
  <c r="M185" i="12"/>
  <c r="M186" i="12"/>
  <c r="U186" i="12" s="1"/>
  <c r="T186" i="12" s="1"/>
  <c r="M187" i="12"/>
  <c r="U187" i="12" s="1"/>
  <c r="T187" i="12" s="1"/>
  <c r="M188" i="12"/>
  <c r="M189" i="12"/>
  <c r="M190" i="12"/>
  <c r="U190" i="12" s="1"/>
  <c r="T190" i="12" s="1"/>
  <c r="M191" i="12"/>
  <c r="U191" i="12" s="1"/>
  <c r="T191" i="12" s="1"/>
  <c r="M192" i="12"/>
  <c r="U192" i="12" s="1"/>
  <c r="T192" i="12" s="1"/>
  <c r="M193" i="12"/>
  <c r="U193" i="12" s="1"/>
  <c r="T193" i="12" s="1"/>
  <c r="M194" i="12"/>
  <c r="U194" i="12" s="1"/>
  <c r="T194" i="12" s="1"/>
  <c r="M195" i="12"/>
  <c r="U195" i="12" s="1"/>
  <c r="T195" i="12" s="1"/>
  <c r="M196" i="12"/>
  <c r="U196" i="12" s="1"/>
  <c r="T196" i="12" s="1"/>
  <c r="M197" i="12"/>
  <c r="U197" i="12" s="1"/>
  <c r="T197" i="12" s="1"/>
  <c r="M198" i="12"/>
  <c r="U198" i="12" s="1"/>
  <c r="T198" i="12" s="1"/>
  <c r="M199" i="12"/>
  <c r="U199" i="12" s="1"/>
  <c r="T199" i="12" s="1"/>
  <c r="M200" i="12"/>
  <c r="U200" i="12" s="1"/>
  <c r="T200" i="12" s="1"/>
  <c r="M201" i="12"/>
  <c r="U201" i="12" s="1"/>
  <c r="T201" i="12" s="1"/>
  <c r="M202" i="12"/>
  <c r="U202" i="12" s="1"/>
  <c r="T202" i="12" s="1"/>
  <c r="M203" i="12"/>
  <c r="U203" i="12" s="1"/>
  <c r="T203" i="12" s="1"/>
  <c r="M204" i="12"/>
  <c r="M205" i="12"/>
  <c r="U205" i="12" s="1"/>
  <c r="T205" i="12" s="1"/>
  <c r="M206" i="12"/>
  <c r="U206" i="12" s="1"/>
  <c r="T206" i="12" s="1"/>
  <c r="M207" i="12"/>
  <c r="U207" i="12" s="1"/>
  <c r="T207" i="12" s="1"/>
  <c r="M208" i="12"/>
  <c r="U208" i="12" s="1"/>
  <c r="T208" i="12" s="1"/>
  <c r="M209" i="12"/>
  <c r="U209" i="12" s="1"/>
  <c r="T209" i="12" s="1"/>
  <c r="M210" i="12"/>
  <c r="U210" i="12" s="1"/>
  <c r="T210" i="12" s="1"/>
  <c r="M211" i="12"/>
  <c r="U211" i="12" s="1"/>
  <c r="T211" i="12" s="1"/>
  <c r="M212" i="12"/>
  <c r="M213" i="12"/>
  <c r="M214" i="12"/>
  <c r="U214" i="12" s="1"/>
  <c r="T214" i="12" s="1"/>
  <c r="M215" i="12"/>
  <c r="U215" i="12" s="1"/>
  <c r="T215" i="12" s="1"/>
  <c r="M216" i="12"/>
  <c r="U216" i="12" s="1"/>
  <c r="T216" i="12" s="1"/>
  <c r="M217" i="12"/>
  <c r="U217" i="12" s="1"/>
  <c r="T217" i="12" s="1"/>
  <c r="M218" i="12"/>
  <c r="M219" i="12"/>
  <c r="U219" i="12" s="1"/>
  <c r="T219" i="12" s="1"/>
  <c r="M220" i="12"/>
  <c r="U220" i="12" s="1"/>
  <c r="T220" i="12" s="1"/>
  <c r="M221" i="12"/>
  <c r="M222" i="12"/>
  <c r="U222" i="12" s="1"/>
  <c r="T222" i="12" s="1"/>
  <c r="M223" i="12"/>
  <c r="U223" i="12" s="1"/>
  <c r="T223" i="12" s="1"/>
  <c r="M224" i="12"/>
  <c r="M225" i="12"/>
  <c r="U225" i="12" s="1"/>
  <c r="T225" i="12" s="1"/>
  <c r="M226" i="12"/>
  <c r="U226" i="12" s="1"/>
  <c r="T226" i="12" s="1"/>
  <c r="M227" i="12"/>
  <c r="U227" i="12" s="1"/>
  <c r="T227" i="12" s="1"/>
  <c r="M228" i="12"/>
  <c r="U228" i="12" s="1"/>
  <c r="T228" i="12" s="1"/>
  <c r="M229" i="12"/>
  <c r="M230" i="12"/>
  <c r="M231" i="12"/>
  <c r="M232" i="12"/>
  <c r="U232" i="12" s="1"/>
  <c r="T232" i="12" s="1"/>
  <c r="M233" i="12"/>
  <c r="M234" i="12"/>
  <c r="U234" i="12" s="1"/>
  <c r="T234" i="12" s="1"/>
  <c r="M235" i="12"/>
  <c r="U235" i="12" s="1"/>
  <c r="T235" i="12" s="1"/>
  <c r="M236" i="12"/>
  <c r="U236" i="12" s="1"/>
  <c r="T236" i="12" s="1"/>
  <c r="M237" i="12"/>
  <c r="U237" i="12" s="1"/>
  <c r="T237" i="12" s="1"/>
  <c r="M238" i="12"/>
  <c r="U238" i="12" s="1"/>
  <c r="T238" i="12" s="1"/>
  <c r="M239" i="12"/>
  <c r="M240" i="12"/>
  <c r="U240" i="12" s="1"/>
  <c r="T240" i="12" s="1"/>
  <c r="M241" i="12"/>
  <c r="M242" i="12"/>
  <c r="M243" i="12"/>
  <c r="M244" i="12"/>
  <c r="U244" i="12" s="1"/>
  <c r="T244" i="12" s="1"/>
  <c r="M245" i="12"/>
  <c r="M246" i="12"/>
  <c r="U246" i="12" s="1"/>
  <c r="T246" i="12" s="1"/>
  <c r="M247" i="12"/>
  <c r="U247" i="12" s="1"/>
  <c r="T247" i="12" s="1"/>
  <c r="M248" i="12"/>
  <c r="M249" i="12"/>
  <c r="M250" i="12"/>
  <c r="U250" i="12" s="1"/>
  <c r="T250" i="12" s="1"/>
  <c r="M251" i="12"/>
  <c r="U251" i="12" s="1"/>
  <c r="T251" i="12" s="1"/>
  <c r="M252" i="12"/>
  <c r="U252" i="12" s="1"/>
  <c r="T252" i="12" s="1"/>
  <c r="M253" i="12"/>
  <c r="M254" i="12"/>
  <c r="U254" i="12" s="1"/>
  <c r="T254" i="12" s="1"/>
  <c r="M255" i="12"/>
  <c r="M256" i="12"/>
  <c r="U256" i="12" s="1"/>
  <c r="T256" i="12" s="1"/>
  <c r="M257" i="12"/>
  <c r="M258" i="12"/>
  <c r="U258" i="12" s="1"/>
  <c r="T258" i="12" s="1"/>
  <c r="M259" i="12"/>
  <c r="U259" i="12" s="1"/>
  <c r="T259" i="12" s="1"/>
  <c r="M260" i="12"/>
  <c r="M261" i="12"/>
  <c r="U261" i="12" s="1"/>
  <c r="T261" i="12" s="1"/>
  <c r="M262" i="12"/>
  <c r="U262" i="12" s="1"/>
  <c r="T262" i="12" s="1"/>
  <c r="M263" i="12"/>
  <c r="U263" i="12" s="1"/>
  <c r="T263" i="12" s="1"/>
  <c r="M264" i="12"/>
  <c r="U264" i="12" s="1"/>
  <c r="T264" i="12" s="1"/>
  <c r="M265" i="12"/>
  <c r="U265" i="12" s="1"/>
  <c r="T265" i="12" s="1"/>
  <c r="M266" i="12"/>
  <c r="U266" i="12" s="1"/>
  <c r="T266" i="12" s="1"/>
  <c r="M267" i="12"/>
  <c r="M268" i="12"/>
  <c r="U268" i="12" s="1"/>
  <c r="T268" i="12" s="1"/>
  <c r="M269" i="12"/>
  <c r="U269" i="12" s="1"/>
  <c r="T269" i="12" s="1"/>
  <c r="M270" i="12"/>
  <c r="U270" i="12" s="1"/>
  <c r="T270" i="12" s="1"/>
  <c r="M271" i="12"/>
  <c r="U271" i="12" s="1"/>
  <c r="T271" i="12" s="1"/>
  <c r="M272" i="12"/>
  <c r="U272" i="12" s="1"/>
  <c r="T272" i="12" s="1"/>
  <c r="M273" i="12"/>
  <c r="U273" i="12" s="1"/>
  <c r="T273" i="12" s="1"/>
  <c r="M274" i="12"/>
  <c r="U274" i="12" s="1"/>
  <c r="T274" i="12" s="1"/>
  <c r="M275" i="12"/>
  <c r="U275" i="12" s="1"/>
  <c r="T275" i="12" s="1"/>
  <c r="M276" i="12"/>
  <c r="M277" i="12"/>
  <c r="U277" i="12" s="1"/>
  <c r="T277" i="12" s="1"/>
  <c r="M278" i="12"/>
  <c r="U278" i="12" s="1"/>
  <c r="T278" i="12" s="1"/>
  <c r="M279" i="12"/>
  <c r="U279" i="12" s="1"/>
  <c r="T279" i="12" s="1"/>
  <c r="M280" i="12"/>
  <c r="U280" i="12" s="1"/>
  <c r="T280" i="12" s="1"/>
  <c r="M281" i="12"/>
  <c r="M282" i="12"/>
  <c r="U282" i="12" s="1"/>
  <c r="T282" i="12" s="1"/>
  <c r="M283" i="12"/>
  <c r="U283" i="12" s="1"/>
  <c r="T283" i="12" s="1"/>
  <c r="M284" i="12"/>
  <c r="M285" i="12"/>
  <c r="M286" i="12"/>
  <c r="U286" i="12" s="1"/>
  <c r="T286" i="12" s="1"/>
  <c r="M287" i="12"/>
  <c r="U287" i="12" s="1"/>
  <c r="T287" i="12" s="1"/>
  <c r="M288" i="12"/>
  <c r="U288" i="12" s="1"/>
  <c r="T288" i="12" s="1"/>
  <c r="M289" i="12"/>
  <c r="U289" i="12" s="1"/>
  <c r="T289" i="12" s="1"/>
  <c r="M290" i="12"/>
  <c r="U290" i="12" s="1"/>
  <c r="T290" i="12" s="1"/>
  <c r="M291" i="12"/>
  <c r="U291" i="12" s="1"/>
  <c r="T291" i="12" s="1"/>
  <c r="M292" i="12"/>
  <c r="U292" i="12" s="1"/>
  <c r="T292" i="12" s="1"/>
  <c r="M293" i="12"/>
  <c r="U293" i="12" s="1"/>
  <c r="T293" i="12" s="1"/>
  <c r="M294" i="12"/>
  <c r="U294" i="12" s="1"/>
  <c r="T294" i="12" s="1"/>
  <c r="M295" i="12"/>
  <c r="U295" i="12" s="1"/>
  <c r="T295" i="12" s="1"/>
  <c r="M296" i="12"/>
  <c r="U296" i="12" s="1"/>
  <c r="T296" i="12" s="1"/>
  <c r="M297" i="12"/>
  <c r="U297" i="12" s="1"/>
  <c r="T297" i="12" s="1"/>
  <c r="M298" i="12"/>
  <c r="U298" i="12" s="1"/>
  <c r="T298" i="12" s="1"/>
  <c r="M299" i="12"/>
  <c r="U299" i="12" s="1"/>
  <c r="T299" i="12" s="1"/>
  <c r="M300" i="12"/>
  <c r="U300" i="12" s="1"/>
  <c r="T300" i="12" s="1"/>
  <c r="M301" i="12"/>
  <c r="M302" i="12"/>
  <c r="U302" i="12" s="1"/>
  <c r="T302" i="12" s="1"/>
  <c r="M303" i="12"/>
  <c r="U303" i="12" s="1"/>
  <c r="T303" i="12" s="1"/>
  <c r="M304" i="12"/>
  <c r="U304" i="12" s="1"/>
  <c r="T304" i="12" s="1"/>
  <c r="M305" i="12"/>
  <c r="M306" i="12"/>
  <c r="U306" i="12" s="1"/>
  <c r="T306" i="12" s="1"/>
  <c r="M307" i="12"/>
  <c r="U307" i="12" s="1"/>
  <c r="T307" i="12" s="1"/>
  <c r="M308" i="12"/>
  <c r="U308" i="12" s="1"/>
  <c r="T308" i="12" s="1"/>
  <c r="M309" i="12"/>
  <c r="M310" i="12"/>
  <c r="U310" i="12" s="1"/>
  <c r="T310" i="12" s="1"/>
  <c r="M311" i="12"/>
  <c r="U311" i="12" s="1"/>
  <c r="T311" i="12" s="1"/>
  <c r="N179" i="12"/>
  <c r="N180" i="12"/>
  <c r="N181" i="12"/>
  <c r="N182" i="12"/>
  <c r="N183" i="12"/>
  <c r="N184" i="12"/>
  <c r="N185" i="12"/>
  <c r="N186" i="12"/>
  <c r="N187" i="12"/>
  <c r="N188" i="12"/>
  <c r="N189" i="12"/>
  <c r="N190" i="12"/>
  <c r="N191" i="12"/>
  <c r="N192" i="12"/>
  <c r="N193" i="12"/>
  <c r="N194" i="12"/>
  <c r="N195" i="12"/>
  <c r="N196" i="12"/>
  <c r="N197" i="12"/>
  <c r="N198" i="12"/>
  <c r="N199" i="12"/>
  <c r="N200" i="12"/>
  <c r="N201" i="12"/>
  <c r="N202" i="12"/>
  <c r="N203" i="12"/>
  <c r="N204" i="12"/>
  <c r="N205" i="12"/>
  <c r="N206" i="12"/>
  <c r="N207" i="12"/>
  <c r="N208" i="12"/>
  <c r="N209" i="12"/>
  <c r="N210" i="12"/>
  <c r="N211" i="12"/>
  <c r="N212" i="12"/>
  <c r="N213" i="12"/>
  <c r="N214" i="12"/>
  <c r="N215" i="12"/>
  <c r="N216" i="12"/>
  <c r="N217" i="12"/>
  <c r="N218" i="12"/>
  <c r="N219" i="12"/>
  <c r="N220" i="12"/>
  <c r="N221" i="12"/>
  <c r="N222" i="12"/>
  <c r="N223" i="12"/>
  <c r="N224" i="12"/>
  <c r="N225" i="12"/>
  <c r="N226" i="12"/>
  <c r="N227" i="12"/>
  <c r="N228" i="12"/>
  <c r="N229" i="12"/>
  <c r="N230" i="12"/>
  <c r="N231" i="12"/>
  <c r="N232" i="12"/>
  <c r="N233" i="12"/>
  <c r="N234" i="12"/>
  <c r="N235" i="12"/>
  <c r="N236" i="12"/>
  <c r="N237" i="12"/>
  <c r="N238" i="12"/>
  <c r="N239" i="12"/>
  <c r="N240" i="12"/>
  <c r="N241" i="12"/>
  <c r="N242" i="12"/>
  <c r="N243" i="12"/>
  <c r="N244" i="12"/>
  <c r="N245" i="12"/>
  <c r="N246" i="12"/>
  <c r="N247" i="12"/>
  <c r="N248" i="12"/>
  <c r="N249" i="12"/>
  <c r="N250" i="12"/>
  <c r="N251" i="12"/>
  <c r="N252" i="12"/>
  <c r="N253" i="12"/>
  <c r="N254" i="12"/>
  <c r="N255" i="12"/>
  <c r="N256" i="12"/>
  <c r="N257" i="12"/>
  <c r="N258" i="12"/>
  <c r="N259" i="12"/>
  <c r="N260" i="12"/>
  <c r="N261" i="12"/>
  <c r="N262" i="12"/>
  <c r="N263" i="12"/>
  <c r="N264" i="12"/>
  <c r="N265" i="12"/>
  <c r="N266" i="12"/>
  <c r="N267" i="12"/>
  <c r="N268" i="12"/>
  <c r="N269" i="12"/>
  <c r="N270" i="12"/>
  <c r="N271" i="12"/>
  <c r="N272" i="12"/>
  <c r="N273" i="12"/>
  <c r="N274" i="12"/>
  <c r="N275" i="12"/>
  <c r="N276" i="12"/>
  <c r="N277" i="12"/>
  <c r="N278" i="12"/>
  <c r="N279" i="12"/>
  <c r="N280" i="12"/>
  <c r="N281" i="12"/>
  <c r="N282" i="12"/>
  <c r="N283" i="12"/>
  <c r="N284" i="12"/>
  <c r="N285" i="12"/>
  <c r="N286" i="12"/>
  <c r="N287" i="12"/>
  <c r="N288" i="12"/>
  <c r="N289" i="12"/>
  <c r="N290" i="12"/>
  <c r="N291" i="12"/>
  <c r="N292" i="12"/>
  <c r="N293" i="12"/>
  <c r="N294" i="12"/>
  <c r="N295" i="12"/>
  <c r="N296" i="12"/>
  <c r="N297" i="12"/>
  <c r="N298" i="12"/>
  <c r="N299" i="12"/>
  <c r="N300" i="12"/>
  <c r="N301" i="12"/>
  <c r="N302" i="12"/>
  <c r="N303" i="12"/>
  <c r="N304" i="12"/>
  <c r="N305" i="12"/>
  <c r="N306" i="12"/>
  <c r="N307" i="12"/>
  <c r="N308" i="12"/>
  <c r="N309" i="12"/>
  <c r="N310" i="12"/>
  <c r="N311" i="12"/>
  <c r="O179" i="12"/>
  <c r="O180" i="12"/>
  <c r="P180" i="12" s="1"/>
  <c r="O181" i="12"/>
  <c r="O182" i="12"/>
  <c r="O183" i="12"/>
  <c r="O184" i="12"/>
  <c r="O185" i="12"/>
  <c r="O186" i="12"/>
  <c r="P186" i="12" s="1"/>
  <c r="O187" i="12"/>
  <c r="P187" i="12" s="1"/>
  <c r="O188" i="12"/>
  <c r="P188" i="12" s="1"/>
  <c r="O189" i="12"/>
  <c r="P189" i="12" s="1"/>
  <c r="O190" i="12"/>
  <c r="P190" i="12" s="1"/>
  <c r="O191" i="12"/>
  <c r="P191" i="12" s="1"/>
  <c r="O192" i="12"/>
  <c r="P192" i="12" s="1"/>
  <c r="O193" i="12"/>
  <c r="O194" i="12"/>
  <c r="P194" i="12" s="1"/>
  <c r="O195" i="12"/>
  <c r="P195" i="12" s="1"/>
  <c r="O196" i="12"/>
  <c r="P196" i="12" s="1"/>
  <c r="O197" i="12"/>
  <c r="P197" i="12" s="1"/>
  <c r="O198" i="12"/>
  <c r="P198" i="12" s="1"/>
  <c r="O199" i="12"/>
  <c r="P199" i="12" s="1"/>
  <c r="O200" i="12"/>
  <c r="P200" i="12" s="1"/>
  <c r="O201" i="12"/>
  <c r="P201" i="12" s="1"/>
  <c r="O202" i="12"/>
  <c r="P202" i="12" s="1"/>
  <c r="O203" i="12"/>
  <c r="P203" i="12" s="1"/>
  <c r="O204" i="12"/>
  <c r="P204" i="12" s="1"/>
  <c r="O205" i="12"/>
  <c r="P205" i="12" s="1"/>
  <c r="O206" i="12"/>
  <c r="P206" i="12" s="1"/>
  <c r="O207" i="12"/>
  <c r="P207" i="12" s="1"/>
  <c r="O208" i="12"/>
  <c r="P208" i="12" s="1"/>
  <c r="O209" i="12"/>
  <c r="P209" i="12" s="1"/>
  <c r="O210" i="12"/>
  <c r="P210" i="12" s="1"/>
  <c r="O211" i="12"/>
  <c r="P211" i="12" s="1"/>
  <c r="O212" i="12"/>
  <c r="P212" i="12" s="1"/>
  <c r="O213" i="12"/>
  <c r="P213" i="12" s="1"/>
  <c r="O214" i="12"/>
  <c r="O215" i="12"/>
  <c r="O216" i="12"/>
  <c r="P216" i="12" s="1"/>
  <c r="O217" i="12"/>
  <c r="P217" i="12" s="1"/>
  <c r="O218" i="12"/>
  <c r="P218" i="12" s="1"/>
  <c r="O219" i="12"/>
  <c r="P219" i="12" s="1"/>
  <c r="O220" i="12"/>
  <c r="P220" i="12" s="1"/>
  <c r="O221" i="12"/>
  <c r="P221" i="12" s="1"/>
  <c r="O222" i="12"/>
  <c r="P222" i="12" s="1"/>
  <c r="O223" i="12"/>
  <c r="P223" i="12" s="1"/>
  <c r="O224" i="12"/>
  <c r="P224" i="12" s="1"/>
  <c r="O225" i="12"/>
  <c r="P225" i="12" s="1"/>
  <c r="O226" i="12"/>
  <c r="O227" i="12"/>
  <c r="P227" i="12" s="1"/>
  <c r="O228" i="12"/>
  <c r="P228" i="12" s="1"/>
  <c r="O229" i="12"/>
  <c r="P229" i="12" s="1"/>
  <c r="O230" i="12"/>
  <c r="P230" i="12" s="1"/>
  <c r="O231" i="12"/>
  <c r="P231" i="12" s="1"/>
  <c r="O232" i="12"/>
  <c r="P232" i="12" s="1"/>
  <c r="O233" i="12"/>
  <c r="P233" i="12" s="1"/>
  <c r="O234" i="12"/>
  <c r="P234" i="12" s="1"/>
  <c r="O235" i="12"/>
  <c r="P235" i="12" s="1"/>
  <c r="O236" i="12"/>
  <c r="P236" i="12" s="1"/>
  <c r="O237" i="12"/>
  <c r="P237" i="12" s="1"/>
  <c r="O238" i="12"/>
  <c r="P238" i="12" s="1"/>
  <c r="O239" i="12"/>
  <c r="O240" i="12"/>
  <c r="P240" i="12" s="1"/>
  <c r="O241" i="12"/>
  <c r="P241" i="12" s="1"/>
  <c r="O242" i="12"/>
  <c r="P242" i="12" s="1"/>
  <c r="O243" i="12"/>
  <c r="P243" i="12" s="1"/>
  <c r="O244" i="12"/>
  <c r="P244" i="12" s="1"/>
  <c r="O245" i="12"/>
  <c r="P245" i="12" s="1"/>
  <c r="O246" i="12"/>
  <c r="P246" i="12" s="1"/>
  <c r="O247" i="12"/>
  <c r="P247" i="12" s="1"/>
  <c r="O248" i="12"/>
  <c r="P248" i="12" s="1"/>
  <c r="O249" i="12"/>
  <c r="P249" i="12" s="1"/>
  <c r="O250" i="12"/>
  <c r="P250" i="12" s="1"/>
  <c r="O251" i="12"/>
  <c r="P251" i="12" s="1"/>
  <c r="O252" i="12"/>
  <c r="P252" i="12" s="1"/>
  <c r="O253" i="12"/>
  <c r="P253" i="12" s="1"/>
  <c r="O254" i="12"/>
  <c r="P254" i="12" s="1"/>
  <c r="O255" i="12"/>
  <c r="P255" i="12" s="1"/>
  <c r="O256" i="12"/>
  <c r="P256" i="12" s="1"/>
  <c r="O257" i="12"/>
  <c r="P257" i="12" s="1"/>
  <c r="O258" i="12"/>
  <c r="P258" i="12" s="1"/>
  <c r="O259" i="12"/>
  <c r="P259" i="12" s="1"/>
  <c r="O260" i="12"/>
  <c r="P260" i="12" s="1"/>
  <c r="O261" i="12"/>
  <c r="P261" i="12" s="1"/>
  <c r="O262" i="12"/>
  <c r="P262" i="12" s="1"/>
  <c r="O263" i="12"/>
  <c r="O264" i="12"/>
  <c r="P264" i="12" s="1"/>
  <c r="O265" i="12"/>
  <c r="P265" i="12" s="1"/>
  <c r="O266" i="12"/>
  <c r="P266" i="12" s="1"/>
  <c r="O267" i="12"/>
  <c r="P267" i="12" s="1"/>
  <c r="O268" i="12"/>
  <c r="P268" i="12" s="1"/>
  <c r="O269" i="12"/>
  <c r="P269" i="12" s="1"/>
  <c r="O270" i="12"/>
  <c r="P270" i="12" s="1"/>
  <c r="O271" i="12"/>
  <c r="P271" i="12" s="1"/>
  <c r="O272" i="12"/>
  <c r="P272" i="12" s="1"/>
  <c r="O273" i="12"/>
  <c r="P273" i="12" s="1"/>
  <c r="O274" i="12"/>
  <c r="P274" i="12" s="1"/>
  <c r="O275" i="12"/>
  <c r="P275" i="12" s="1"/>
  <c r="O276" i="12"/>
  <c r="P276" i="12" s="1"/>
  <c r="O277" i="12"/>
  <c r="P277" i="12" s="1"/>
  <c r="O278" i="12"/>
  <c r="P278" i="12" s="1"/>
  <c r="O279" i="12"/>
  <c r="P279" i="12" s="1"/>
  <c r="O280" i="12"/>
  <c r="P280" i="12" s="1"/>
  <c r="O281" i="12"/>
  <c r="P281" i="12" s="1"/>
  <c r="O282" i="12"/>
  <c r="P282" i="12" s="1"/>
  <c r="O283" i="12"/>
  <c r="P283" i="12" s="1"/>
  <c r="O284" i="12"/>
  <c r="P284" i="12" s="1"/>
  <c r="O285" i="12"/>
  <c r="P285" i="12" s="1"/>
  <c r="O286" i="12"/>
  <c r="P286" i="12" s="1"/>
  <c r="O287" i="12"/>
  <c r="P287" i="12" s="1"/>
  <c r="O288" i="12"/>
  <c r="P288" i="12" s="1"/>
  <c r="O289" i="12"/>
  <c r="P289" i="12" s="1"/>
  <c r="O290" i="12"/>
  <c r="P290" i="12" s="1"/>
  <c r="O291" i="12"/>
  <c r="P291" i="12" s="1"/>
  <c r="O292" i="12"/>
  <c r="P292" i="12" s="1"/>
  <c r="O293" i="12"/>
  <c r="P293" i="12" s="1"/>
  <c r="O294" i="12"/>
  <c r="P294" i="12" s="1"/>
  <c r="O295" i="12"/>
  <c r="P295" i="12" s="1"/>
  <c r="O296" i="12"/>
  <c r="P296" i="12" s="1"/>
  <c r="O297" i="12"/>
  <c r="P297" i="12" s="1"/>
  <c r="O298" i="12"/>
  <c r="P298" i="12" s="1"/>
  <c r="O299" i="12"/>
  <c r="P299" i="12" s="1"/>
  <c r="O300" i="12"/>
  <c r="P300" i="12" s="1"/>
  <c r="O301" i="12"/>
  <c r="P301" i="12" s="1"/>
  <c r="O302" i="12"/>
  <c r="P302" i="12" s="1"/>
  <c r="O303" i="12"/>
  <c r="P303" i="12" s="1"/>
  <c r="O304" i="12"/>
  <c r="P304" i="12" s="1"/>
  <c r="O305" i="12"/>
  <c r="P305" i="12" s="1"/>
  <c r="O306" i="12"/>
  <c r="P306" i="12" s="1"/>
  <c r="O307" i="12"/>
  <c r="P307" i="12" s="1"/>
  <c r="O308" i="12"/>
  <c r="P308" i="12" s="1"/>
  <c r="O309" i="12"/>
  <c r="P309" i="12" s="1"/>
  <c r="O310" i="12"/>
  <c r="P310" i="12" s="1"/>
  <c r="O311" i="12"/>
  <c r="P311" i="12" s="1"/>
  <c r="P179" i="12"/>
  <c r="P181" i="12"/>
  <c r="P182" i="12"/>
  <c r="P183" i="12"/>
  <c r="P184" i="12"/>
  <c r="P185" i="12"/>
  <c r="P193" i="12"/>
  <c r="P214" i="12"/>
  <c r="P215" i="12"/>
  <c r="P226" i="12"/>
  <c r="P239" i="12"/>
  <c r="P263" i="12"/>
  <c r="U181" i="12"/>
  <c r="T181" i="12" s="1"/>
  <c r="U183" i="12"/>
  <c r="T183" i="12" s="1"/>
  <c r="U185" i="12"/>
  <c r="T185" i="12" s="1"/>
  <c r="U188" i="12"/>
  <c r="T188" i="12" s="1"/>
  <c r="U189" i="12"/>
  <c r="T189" i="12" s="1"/>
  <c r="U204" i="12"/>
  <c r="T204" i="12" s="1"/>
  <c r="U212" i="12"/>
  <c r="T212" i="12" s="1"/>
  <c r="U213" i="12"/>
  <c r="T213" i="12" s="1"/>
  <c r="U218" i="12"/>
  <c r="T218" i="12" s="1"/>
  <c r="U221" i="12"/>
  <c r="T221" i="12" s="1"/>
  <c r="U224" i="12"/>
  <c r="T224" i="12" s="1"/>
  <c r="U229" i="12"/>
  <c r="T229" i="12" s="1"/>
  <c r="U230" i="12"/>
  <c r="T230" i="12" s="1"/>
  <c r="U231" i="12"/>
  <c r="T231" i="12" s="1"/>
  <c r="U233" i="12"/>
  <c r="T233" i="12" s="1"/>
  <c r="U239" i="12"/>
  <c r="T239" i="12" s="1"/>
  <c r="U241" i="12"/>
  <c r="T241" i="12" s="1"/>
  <c r="U242" i="12"/>
  <c r="T242" i="12" s="1"/>
  <c r="U243" i="12"/>
  <c r="T243" i="12" s="1"/>
  <c r="U245" i="12"/>
  <c r="T245" i="12" s="1"/>
  <c r="U248" i="12"/>
  <c r="T248" i="12" s="1"/>
  <c r="U249" i="12"/>
  <c r="T249" i="12" s="1"/>
  <c r="U253" i="12"/>
  <c r="T253" i="12" s="1"/>
  <c r="U255" i="12"/>
  <c r="T255" i="12" s="1"/>
  <c r="U257" i="12"/>
  <c r="T257" i="12" s="1"/>
  <c r="U260" i="12"/>
  <c r="T260" i="12" s="1"/>
  <c r="U267" i="12"/>
  <c r="T267" i="12" s="1"/>
  <c r="U276" i="12"/>
  <c r="T276" i="12" s="1"/>
  <c r="U281" i="12"/>
  <c r="T281" i="12" s="1"/>
  <c r="U284" i="12"/>
  <c r="T284" i="12" s="1"/>
  <c r="U285" i="12"/>
  <c r="T285" i="12" s="1"/>
  <c r="U301" i="12"/>
  <c r="T301" i="12" s="1"/>
  <c r="U305" i="12"/>
  <c r="T305" i="12" s="1"/>
  <c r="U309" i="12"/>
  <c r="T309" i="12" s="1"/>
  <c r="M501" i="4"/>
  <c r="U501" i="4" s="1"/>
  <c r="T501" i="4" s="1"/>
  <c r="N501" i="4"/>
  <c r="O501" i="4"/>
  <c r="P501" i="4" s="1"/>
  <c r="M500" i="4"/>
  <c r="U500" i="4" s="1"/>
  <c r="T500" i="4" s="1"/>
  <c r="N500" i="4"/>
  <c r="O500" i="4"/>
  <c r="P500" i="4" s="1"/>
  <c r="M499" i="4"/>
  <c r="U499" i="4" s="1"/>
  <c r="M498" i="4"/>
  <c r="U498" i="4" s="1"/>
  <c r="M497" i="4"/>
  <c r="U497" i="4" s="1"/>
  <c r="M496" i="4"/>
  <c r="U496" i="4" s="1"/>
  <c r="M495" i="4"/>
  <c r="U495" i="4" s="1"/>
  <c r="M494" i="4"/>
  <c r="U494" i="4" s="1"/>
  <c r="M493" i="4"/>
  <c r="U493" i="4" s="1"/>
  <c r="M492" i="4"/>
  <c r="U492" i="4" s="1"/>
  <c r="M491" i="4"/>
  <c r="U491" i="4" s="1"/>
  <c r="M490" i="4"/>
  <c r="U490" i="4" s="1"/>
  <c r="M489" i="4"/>
  <c r="U489" i="4" s="1"/>
  <c r="M488" i="4"/>
  <c r="U488" i="4" s="1"/>
  <c r="M487" i="4"/>
  <c r="U487" i="4" s="1"/>
  <c r="M486" i="4"/>
  <c r="U486" i="4" s="1"/>
  <c r="M485" i="4"/>
  <c r="U485" i="4" s="1"/>
  <c r="M484" i="4"/>
  <c r="U484" i="4" s="1"/>
  <c r="M483" i="4"/>
  <c r="U483" i="4" s="1"/>
  <c r="M482" i="4"/>
  <c r="U482" i="4" s="1"/>
  <c r="M481" i="4"/>
  <c r="U481" i="4" s="1"/>
  <c r="M480" i="4"/>
  <c r="U480" i="4" s="1"/>
  <c r="M479" i="4"/>
  <c r="U479" i="4" s="1"/>
  <c r="M478" i="4"/>
  <c r="U478" i="4" s="1"/>
  <c r="M477" i="4"/>
  <c r="U477" i="4" s="1"/>
  <c r="M476" i="4"/>
  <c r="U476" i="4" s="1"/>
  <c r="M475" i="4"/>
  <c r="U475" i="4" s="1"/>
  <c r="M474" i="4"/>
  <c r="U474" i="4" s="1"/>
  <c r="M473" i="4"/>
  <c r="U473" i="4" s="1"/>
  <c r="M472" i="4"/>
  <c r="U472" i="4" s="1"/>
  <c r="M471" i="4"/>
  <c r="U471" i="4" s="1"/>
  <c r="M470" i="4"/>
  <c r="U470" i="4" s="1"/>
  <c r="M469" i="4"/>
  <c r="U469" i="4" s="1"/>
  <c r="M468" i="4"/>
  <c r="U468" i="4" s="1"/>
  <c r="M467" i="4"/>
  <c r="U467" i="4" s="1"/>
  <c r="M466" i="4"/>
  <c r="U466" i="4" s="1"/>
  <c r="M465" i="4"/>
  <c r="U465" i="4" s="1"/>
  <c r="M464" i="4"/>
  <c r="U464" i="4" s="1"/>
  <c r="M463" i="4"/>
  <c r="U463" i="4" s="1"/>
  <c r="M462" i="4"/>
  <c r="U462" i="4" s="1"/>
  <c r="M461" i="4"/>
  <c r="U461" i="4" s="1"/>
  <c r="M460" i="4"/>
  <c r="U460" i="4" s="1"/>
  <c r="M459" i="4"/>
  <c r="U459" i="4" s="1"/>
  <c r="M458" i="4"/>
  <c r="U458" i="4" s="1"/>
  <c r="M457" i="4"/>
  <c r="U457" i="4" s="1"/>
  <c r="M456" i="4"/>
  <c r="U456" i="4" s="1"/>
  <c r="M455" i="4"/>
  <c r="U455" i="4" s="1"/>
  <c r="M454" i="4"/>
  <c r="U454" i="4" s="1"/>
  <c r="M453" i="4"/>
  <c r="U453" i="4" s="1"/>
  <c r="M452" i="4"/>
  <c r="U452" i="4" s="1"/>
  <c r="M451" i="4"/>
  <c r="U451" i="4" s="1"/>
  <c r="M450" i="4"/>
  <c r="U450" i="4" s="1"/>
  <c r="M449" i="4"/>
  <c r="U449" i="4" s="1"/>
  <c r="M448" i="4"/>
  <c r="U448" i="4" s="1"/>
  <c r="M447" i="4"/>
  <c r="U447" i="4" s="1"/>
  <c r="M446" i="4"/>
  <c r="U446" i="4" s="1"/>
  <c r="M445" i="4"/>
  <c r="U445" i="4" s="1"/>
  <c r="M444" i="4"/>
  <c r="U444" i="4" s="1"/>
  <c r="M443" i="4"/>
  <c r="U443" i="4" s="1"/>
  <c r="M442" i="4"/>
  <c r="U442" i="4" s="1"/>
  <c r="M441" i="4"/>
  <c r="U441" i="4" s="1"/>
  <c r="M440" i="4"/>
  <c r="U440" i="4" s="1"/>
  <c r="M439" i="4"/>
  <c r="U439" i="4" s="1"/>
  <c r="M438" i="4"/>
  <c r="U438" i="4" s="1"/>
  <c r="M437" i="4"/>
  <c r="U437" i="4" s="1"/>
  <c r="M436" i="4"/>
  <c r="U436" i="4" s="1"/>
  <c r="M435" i="4"/>
  <c r="U435" i="4" s="1"/>
  <c r="M434" i="4"/>
  <c r="U434" i="4" s="1"/>
  <c r="M433" i="4"/>
  <c r="U433" i="4" s="1"/>
  <c r="M432" i="4"/>
  <c r="U432" i="4" s="1"/>
  <c r="M431" i="4"/>
  <c r="U431" i="4" s="1"/>
  <c r="M430" i="4"/>
  <c r="U430" i="4" s="1"/>
  <c r="M429" i="4"/>
  <c r="U429" i="4" s="1"/>
  <c r="M428" i="4"/>
  <c r="U428" i="4" s="1"/>
  <c r="M427" i="4"/>
  <c r="U427" i="4" s="1"/>
  <c r="M426" i="4"/>
  <c r="U426" i="4" s="1"/>
  <c r="M425" i="4"/>
  <c r="U425" i="4" s="1"/>
  <c r="M424" i="4"/>
  <c r="U424" i="4" s="1"/>
  <c r="M423" i="4"/>
  <c r="U423" i="4" s="1"/>
  <c r="M422" i="4"/>
  <c r="U422" i="4" s="1"/>
  <c r="M421" i="4"/>
  <c r="U421" i="4" s="1"/>
  <c r="M420" i="4"/>
  <c r="U420" i="4" s="1"/>
  <c r="M419" i="4"/>
  <c r="U419" i="4" s="1"/>
  <c r="M418" i="4"/>
  <c r="U418" i="4" s="1"/>
  <c r="M417" i="4"/>
  <c r="U417" i="4" s="1"/>
  <c r="M416" i="4"/>
  <c r="U416" i="4" s="1"/>
  <c r="M415" i="4"/>
  <c r="U415" i="4" s="1"/>
  <c r="M414" i="4"/>
  <c r="U414" i="4" s="1"/>
  <c r="M413" i="4"/>
  <c r="U413" i="4" s="1"/>
  <c r="M412" i="4"/>
  <c r="U412" i="4" s="1"/>
  <c r="M411" i="4"/>
  <c r="U411" i="4" s="1"/>
  <c r="M410" i="4"/>
  <c r="U410" i="4" s="1"/>
  <c r="M409" i="4"/>
  <c r="U409" i="4" s="1"/>
  <c r="M408" i="4"/>
  <c r="U408" i="4" s="1"/>
  <c r="M407" i="4"/>
  <c r="U407" i="4" s="1"/>
  <c r="M406" i="4"/>
  <c r="U406" i="4" s="1"/>
  <c r="M405" i="4"/>
  <c r="U405" i="4" s="1"/>
  <c r="M404" i="4"/>
  <c r="U404" i="4" s="1"/>
  <c r="M403" i="4"/>
  <c r="U403" i="4" s="1"/>
  <c r="M402" i="4"/>
  <c r="U402" i="4" s="1"/>
  <c r="M401" i="4"/>
  <c r="U401" i="4" s="1"/>
  <c r="M400" i="4"/>
  <c r="U400" i="4" s="1"/>
  <c r="M399" i="4"/>
  <c r="U399" i="4" s="1"/>
  <c r="M398" i="4"/>
  <c r="U398" i="4" s="1"/>
  <c r="M397" i="4"/>
  <c r="U397" i="4" s="1"/>
  <c r="M396" i="4"/>
  <c r="U396" i="4" s="1"/>
  <c r="M395" i="4"/>
  <c r="U395" i="4" s="1"/>
  <c r="M394" i="4"/>
  <c r="U394" i="4" s="1"/>
  <c r="M393" i="4"/>
  <c r="U393" i="4" s="1"/>
  <c r="M392" i="4"/>
  <c r="U392" i="4" s="1"/>
  <c r="M391" i="4"/>
  <c r="U391" i="4" s="1"/>
  <c r="M390" i="4"/>
  <c r="U390" i="4" s="1"/>
  <c r="M389" i="4"/>
  <c r="U389" i="4" s="1"/>
  <c r="M388" i="4"/>
  <c r="U388" i="4" s="1"/>
  <c r="M387" i="4"/>
  <c r="U387" i="4" s="1"/>
  <c r="M386" i="4"/>
  <c r="U386" i="4" s="1"/>
  <c r="M385" i="4"/>
  <c r="U385" i="4" s="1"/>
  <c r="M384" i="4"/>
  <c r="U384" i="4" s="1"/>
  <c r="M383" i="4"/>
  <c r="U383" i="4" s="1"/>
  <c r="M382" i="4"/>
  <c r="U382" i="4" s="1"/>
  <c r="M381" i="4"/>
  <c r="U381" i="4" s="1"/>
  <c r="M380" i="4"/>
  <c r="U380" i="4" s="1"/>
  <c r="M379" i="4"/>
  <c r="U379" i="4" s="1"/>
  <c r="M378" i="4"/>
  <c r="U378" i="4" s="1"/>
  <c r="M377" i="4"/>
  <c r="U377" i="4" s="1"/>
  <c r="M376" i="4"/>
  <c r="U376" i="4" s="1"/>
  <c r="M375" i="4"/>
  <c r="U375" i="4" s="1"/>
  <c r="M374" i="4"/>
  <c r="U374" i="4" s="1"/>
  <c r="M373" i="4"/>
  <c r="U373" i="4" s="1"/>
  <c r="M372" i="4"/>
  <c r="U372" i="4" s="1"/>
  <c r="M371" i="4"/>
  <c r="U371" i="4" s="1"/>
  <c r="M370" i="4"/>
  <c r="U370" i="4" s="1"/>
  <c r="M369" i="4"/>
  <c r="U369" i="4" s="1"/>
  <c r="M368" i="4"/>
  <c r="U368" i="4" s="1"/>
  <c r="M367" i="4"/>
  <c r="U367" i="4" s="1"/>
  <c r="M366" i="4"/>
  <c r="U366" i="4" s="1"/>
  <c r="M365" i="4"/>
  <c r="U365" i="4" s="1"/>
  <c r="M364" i="4"/>
  <c r="U364" i="4" s="1"/>
  <c r="M363" i="4"/>
  <c r="U363" i="4" s="1"/>
  <c r="M362" i="4"/>
  <c r="U362" i="4" s="1"/>
  <c r="M361" i="4"/>
  <c r="U361" i="4" s="1"/>
  <c r="M360" i="4"/>
  <c r="U360" i="4" s="1"/>
  <c r="M359" i="4"/>
  <c r="U359" i="4" s="1"/>
  <c r="M358" i="4"/>
  <c r="U358" i="4" s="1"/>
  <c r="M357" i="4"/>
  <c r="U357" i="4" s="1"/>
  <c r="M356" i="4"/>
  <c r="U356" i="4" s="1"/>
  <c r="M355" i="4"/>
  <c r="U355" i="4" s="1"/>
  <c r="M354" i="4"/>
  <c r="U354" i="4" s="1"/>
  <c r="M353" i="4"/>
  <c r="U353" i="4" s="1"/>
  <c r="M352" i="4"/>
  <c r="U352" i="4" s="1"/>
  <c r="M351" i="4"/>
  <c r="U351" i="4" s="1"/>
  <c r="M350" i="4"/>
  <c r="U350" i="4" s="1"/>
  <c r="M349" i="4"/>
  <c r="U349" i="4" s="1"/>
  <c r="M348" i="4"/>
  <c r="U348" i="4" s="1"/>
  <c r="M347" i="4"/>
  <c r="U347" i="4" s="1"/>
  <c r="M346" i="4"/>
  <c r="U346" i="4" s="1"/>
  <c r="M345" i="4"/>
  <c r="U345" i="4" s="1"/>
  <c r="M344" i="4"/>
  <c r="U344" i="4" s="1"/>
  <c r="M343" i="4"/>
  <c r="U343" i="4" s="1"/>
  <c r="M342" i="4"/>
  <c r="U342" i="4" s="1"/>
  <c r="M341" i="4"/>
  <c r="U341" i="4" s="1"/>
  <c r="M340" i="4"/>
  <c r="U340" i="4" s="1"/>
  <c r="M339" i="4"/>
  <c r="U339" i="4" s="1"/>
  <c r="M338" i="4"/>
  <c r="U338" i="4" s="1"/>
  <c r="M337" i="4"/>
  <c r="U337" i="4" s="1"/>
  <c r="M336" i="4"/>
  <c r="U336" i="4" s="1"/>
  <c r="M335" i="4"/>
  <c r="U335" i="4" s="1"/>
  <c r="M334" i="4"/>
  <c r="U334" i="4" s="1"/>
  <c r="M333" i="4"/>
  <c r="U333" i="4" s="1"/>
  <c r="M332" i="4"/>
  <c r="U332" i="4" s="1"/>
  <c r="M331" i="4"/>
  <c r="U331" i="4" s="1"/>
  <c r="M330" i="4"/>
  <c r="U330" i="4" s="1"/>
  <c r="M329" i="4"/>
  <c r="U329" i="4" s="1"/>
  <c r="M328" i="4"/>
  <c r="U328" i="4" s="1"/>
  <c r="M327" i="4"/>
  <c r="U327" i="4" s="1"/>
  <c r="M326" i="4"/>
  <c r="U326" i="4" s="1"/>
  <c r="M325" i="4"/>
  <c r="U325" i="4" s="1"/>
  <c r="M324" i="4"/>
  <c r="U324" i="4" s="1"/>
  <c r="M323" i="4"/>
  <c r="U323" i="4" s="1"/>
  <c r="M322" i="4"/>
  <c r="U322" i="4" s="1"/>
  <c r="M321" i="4"/>
  <c r="U321" i="4" s="1"/>
  <c r="M320" i="4"/>
  <c r="U320" i="4" s="1"/>
  <c r="M319" i="4"/>
  <c r="U319" i="4" s="1"/>
  <c r="M318" i="4"/>
  <c r="U318" i="4" s="1"/>
  <c r="M317" i="4"/>
  <c r="U317" i="4" s="1"/>
  <c r="M316" i="4"/>
  <c r="U316" i="4" s="1"/>
  <c r="M315" i="4"/>
  <c r="U315" i="4" s="1"/>
  <c r="M314" i="4"/>
  <c r="U314" i="4" s="1"/>
  <c r="M313" i="4"/>
  <c r="U313" i="4" s="1"/>
  <c r="M312" i="4"/>
  <c r="U312" i="4" s="1"/>
  <c r="M311" i="4"/>
  <c r="U311" i="4" s="1"/>
  <c r="M310" i="4"/>
  <c r="U310" i="4" s="1"/>
  <c r="M309" i="4"/>
  <c r="U309" i="4" s="1"/>
  <c r="M308" i="4"/>
  <c r="U308" i="4" s="1"/>
  <c r="M307" i="4"/>
  <c r="U307" i="4" s="1"/>
  <c r="M306" i="4"/>
  <c r="U306" i="4" s="1"/>
  <c r="M305" i="4"/>
  <c r="U305" i="4" s="1"/>
  <c r="M304" i="4"/>
  <c r="U304" i="4" s="1"/>
  <c r="M303" i="4"/>
  <c r="U303" i="4" s="1"/>
  <c r="M302" i="4"/>
  <c r="U302" i="4" s="1"/>
  <c r="M301" i="4"/>
  <c r="U301" i="4" s="1"/>
  <c r="M300" i="4"/>
  <c r="U300" i="4" s="1"/>
  <c r="M299" i="4"/>
  <c r="U299" i="4" s="1"/>
  <c r="M298" i="4"/>
  <c r="U298" i="4" s="1"/>
  <c r="M297" i="4"/>
  <c r="U297" i="4" s="1"/>
  <c r="M296" i="4"/>
  <c r="U296" i="4" s="1"/>
  <c r="M295" i="4"/>
  <c r="U295" i="4" s="1"/>
  <c r="M294" i="4"/>
  <c r="U294" i="4" s="1"/>
  <c r="M293" i="4"/>
  <c r="U293" i="4" s="1"/>
  <c r="M292" i="4"/>
  <c r="U292" i="4" s="1"/>
  <c r="M291" i="4"/>
  <c r="U291" i="4" s="1"/>
  <c r="M290" i="4"/>
  <c r="U290" i="4" s="1"/>
  <c r="M289" i="4"/>
  <c r="U289" i="4" s="1"/>
  <c r="M288" i="4"/>
  <c r="U288" i="4" s="1"/>
  <c r="M287" i="4"/>
  <c r="U287" i="4" s="1"/>
  <c r="M286" i="4"/>
  <c r="U286" i="4" s="1"/>
  <c r="M285" i="4"/>
  <c r="U285" i="4" s="1"/>
  <c r="M284" i="4"/>
  <c r="U284" i="4" s="1"/>
  <c r="M283" i="4"/>
  <c r="U283" i="4" s="1"/>
  <c r="M282" i="4"/>
  <c r="U282" i="4" s="1"/>
  <c r="M281" i="4"/>
  <c r="U281" i="4" s="1"/>
  <c r="M280" i="4"/>
  <c r="U280" i="4" s="1"/>
  <c r="M279" i="4"/>
  <c r="U279" i="4" s="1"/>
  <c r="M278" i="4"/>
  <c r="U278" i="4" s="1"/>
  <c r="M277" i="4"/>
  <c r="U277" i="4" s="1"/>
  <c r="M276" i="4"/>
  <c r="U276" i="4" s="1"/>
  <c r="M275" i="4"/>
  <c r="U275" i="4" s="1"/>
  <c r="M274" i="4"/>
  <c r="U274" i="4" s="1"/>
  <c r="M273" i="4"/>
  <c r="U273" i="4" s="1"/>
  <c r="M272" i="4"/>
  <c r="U272" i="4" s="1"/>
  <c r="M271" i="4"/>
  <c r="U271" i="4" s="1"/>
  <c r="M270" i="4"/>
  <c r="U270" i="4" s="1"/>
  <c r="M269" i="4"/>
  <c r="U269" i="4" s="1"/>
  <c r="M268" i="4"/>
  <c r="U268" i="4" s="1"/>
  <c r="M267" i="4"/>
  <c r="U267" i="4" s="1"/>
  <c r="M266" i="4"/>
  <c r="U266" i="4" s="1"/>
  <c r="M265" i="4"/>
  <c r="U265" i="4" s="1"/>
  <c r="M264" i="4"/>
  <c r="U264" i="4" s="1"/>
  <c r="M263" i="4"/>
  <c r="U263" i="4" s="1"/>
  <c r="M262" i="4"/>
  <c r="U262" i="4" s="1"/>
  <c r="M261" i="4"/>
  <c r="U261" i="4" s="1"/>
  <c r="M260" i="4"/>
  <c r="U260" i="4" s="1"/>
  <c r="M259" i="4"/>
  <c r="U259" i="4" s="1"/>
  <c r="M258" i="4"/>
  <c r="U258" i="4" s="1"/>
  <c r="M257" i="4"/>
  <c r="U257" i="4" s="1"/>
  <c r="M256" i="4"/>
  <c r="U256" i="4" s="1"/>
  <c r="M255" i="4"/>
  <c r="U255" i="4" s="1"/>
  <c r="M254" i="4"/>
  <c r="U254" i="4" s="1"/>
  <c r="M253" i="4"/>
  <c r="U253" i="4" s="1"/>
  <c r="M252" i="4"/>
  <c r="U252" i="4" s="1"/>
  <c r="M251" i="4"/>
  <c r="U251" i="4" s="1"/>
  <c r="M250" i="4"/>
  <c r="U250" i="4" s="1"/>
  <c r="M249" i="4"/>
  <c r="U249" i="4" s="1"/>
  <c r="M248" i="4"/>
  <c r="U248" i="4" s="1"/>
  <c r="M247" i="4"/>
  <c r="U247" i="4" s="1"/>
  <c r="M246" i="4"/>
  <c r="U246" i="4" s="1"/>
  <c r="M245" i="4"/>
  <c r="U245" i="4" s="1"/>
  <c r="M244" i="4"/>
  <c r="U244" i="4" s="1"/>
  <c r="M243" i="4"/>
  <c r="U243" i="4" s="1"/>
  <c r="M242" i="4"/>
  <c r="U242" i="4" s="1"/>
  <c r="M241" i="4"/>
  <c r="U241" i="4" s="1"/>
  <c r="M240" i="4"/>
  <c r="U240" i="4" s="1"/>
  <c r="M239" i="4"/>
  <c r="U239" i="4" s="1"/>
  <c r="M238" i="4"/>
  <c r="U238" i="4" s="1"/>
  <c r="M237" i="4"/>
  <c r="U237" i="4" s="1"/>
  <c r="M236" i="4"/>
  <c r="U236" i="4" s="1"/>
  <c r="M235" i="4"/>
  <c r="U235" i="4" s="1"/>
  <c r="M234" i="4"/>
  <c r="U234" i="4" s="1"/>
  <c r="M233" i="4"/>
  <c r="U233" i="4" s="1"/>
  <c r="M232" i="4"/>
  <c r="U232" i="4" s="1"/>
  <c r="M231" i="4"/>
  <c r="U231" i="4" s="1"/>
  <c r="M230" i="4"/>
  <c r="U230" i="4" s="1"/>
  <c r="M229" i="4"/>
  <c r="U229" i="4" s="1"/>
  <c r="M228" i="4"/>
  <c r="U228" i="4" s="1"/>
  <c r="M227" i="4"/>
  <c r="U227" i="4" s="1"/>
  <c r="M226" i="4"/>
  <c r="U226" i="4" s="1"/>
  <c r="M225" i="4"/>
  <c r="U225" i="4" s="1"/>
  <c r="M224" i="4"/>
  <c r="U224" i="4" s="1"/>
  <c r="M223" i="4"/>
  <c r="U223" i="4" s="1"/>
  <c r="M222" i="4"/>
  <c r="U222" i="4" s="1"/>
  <c r="M221" i="4"/>
  <c r="U221" i="4" s="1"/>
  <c r="M220" i="4"/>
  <c r="U220" i="4" s="1"/>
  <c r="M219" i="4"/>
  <c r="U219" i="4" s="1"/>
  <c r="M218" i="4"/>
  <c r="U218" i="4" s="1"/>
  <c r="M217" i="4"/>
  <c r="U217" i="4" s="1"/>
  <c r="M216" i="4"/>
  <c r="U216" i="4" s="1"/>
  <c r="M215" i="4"/>
  <c r="U215" i="4" s="1"/>
  <c r="M214" i="4"/>
  <c r="U214" i="4" s="1"/>
  <c r="M213" i="4"/>
  <c r="U213" i="4" s="1"/>
  <c r="M212" i="4"/>
  <c r="U212" i="4" s="1"/>
  <c r="M211" i="4"/>
  <c r="U211" i="4" s="1"/>
  <c r="M210" i="4"/>
  <c r="U210" i="4" s="1"/>
  <c r="M209" i="4"/>
  <c r="U209" i="4" s="1"/>
  <c r="M208" i="4"/>
  <c r="U208" i="4" s="1"/>
  <c r="M207" i="4"/>
  <c r="U207" i="4" s="1"/>
  <c r="M206" i="4"/>
  <c r="U206" i="4" s="1"/>
  <c r="M205" i="4"/>
  <c r="U205" i="4" s="1"/>
  <c r="M204" i="4"/>
  <c r="U204" i="4" s="1"/>
  <c r="M203" i="4"/>
  <c r="U203" i="4" s="1"/>
  <c r="M202" i="4"/>
  <c r="U202" i="4" s="1"/>
  <c r="M201" i="4"/>
  <c r="U201" i="4" s="1"/>
  <c r="M200" i="4"/>
  <c r="U200" i="4" s="1"/>
  <c r="M199" i="4"/>
  <c r="U199" i="4" s="1"/>
  <c r="M198" i="4"/>
  <c r="U198" i="4" s="1"/>
  <c r="M197" i="4"/>
  <c r="U197" i="4" s="1"/>
  <c r="M196" i="4"/>
  <c r="U196" i="4" s="1"/>
  <c r="M195" i="4"/>
  <c r="U195" i="4" s="1"/>
  <c r="M194" i="4"/>
  <c r="U194" i="4" s="1"/>
  <c r="M193" i="4"/>
  <c r="U193" i="4" s="1"/>
  <c r="M192" i="4"/>
  <c r="U192" i="4" s="1"/>
  <c r="M191" i="4"/>
  <c r="U191" i="4" s="1"/>
  <c r="M190" i="4"/>
  <c r="U190" i="4" s="1"/>
  <c r="M189" i="4"/>
  <c r="U189" i="4" s="1"/>
  <c r="M188" i="4"/>
  <c r="U188" i="4" s="1"/>
  <c r="M187" i="4"/>
  <c r="U187" i="4" s="1"/>
  <c r="M186" i="4"/>
  <c r="U186" i="4" s="1"/>
  <c r="M185" i="4"/>
  <c r="U185" i="4" s="1"/>
  <c r="M184" i="4"/>
  <c r="U184" i="4" s="1"/>
  <c r="M183" i="4"/>
  <c r="U183" i="4" s="1"/>
  <c r="M182" i="4"/>
  <c r="U182" i="4" s="1"/>
  <c r="M181" i="4"/>
  <c r="U181" i="4" s="1"/>
  <c r="M180" i="4"/>
  <c r="U180" i="4" s="1"/>
  <c r="M179" i="4"/>
  <c r="U179" i="4" s="1"/>
  <c r="M178" i="4"/>
  <c r="U178" i="4" s="1"/>
  <c r="M177" i="4"/>
  <c r="U177" i="4" s="1"/>
  <c r="M176" i="4"/>
  <c r="U176" i="4" s="1"/>
  <c r="M175" i="4"/>
  <c r="U175" i="4" s="1"/>
  <c r="M174" i="4"/>
  <c r="U174" i="4" s="1"/>
  <c r="M173" i="4"/>
  <c r="U173" i="4" s="1"/>
  <c r="M172" i="4"/>
  <c r="U172" i="4" s="1"/>
  <c r="M171" i="4"/>
  <c r="U171" i="4" s="1"/>
  <c r="M170" i="4"/>
  <c r="U170" i="4" s="1"/>
  <c r="M169" i="4"/>
  <c r="U169" i="4" s="1"/>
  <c r="M168" i="4"/>
  <c r="U168" i="4" s="1"/>
  <c r="M167" i="4"/>
  <c r="U167" i="4" s="1"/>
  <c r="M166" i="4"/>
  <c r="U166" i="4" s="1"/>
  <c r="M165" i="4"/>
  <c r="U165" i="4" s="1"/>
  <c r="M164" i="4"/>
  <c r="U164" i="4" s="1"/>
  <c r="M163" i="4"/>
  <c r="U163" i="4" s="1"/>
  <c r="M162" i="4"/>
  <c r="U162" i="4" s="1"/>
  <c r="M161" i="4"/>
  <c r="U161" i="4" s="1"/>
  <c r="M160" i="4"/>
  <c r="U160" i="4" s="1"/>
  <c r="M159" i="4"/>
  <c r="U159" i="4" s="1"/>
  <c r="M158" i="4"/>
  <c r="U158" i="4" s="1"/>
  <c r="M157" i="4"/>
  <c r="U157" i="4" s="1"/>
  <c r="M156" i="4"/>
  <c r="U156" i="4" s="1"/>
  <c r="M155" i="4"/>
  <c r="U155" i="4" s="1"/>
  <c r="M154" i="4"/>
  <c r="U154" i="4" s="1"/>
  <c r="M153" i="4"/>
  <c r="U153" i="4" s="1"/>
  <c r="M152" i="4"/>
  <c r="U152" i="4" s="1"/>
  <c r="M151" i="4"/>
  <c r="U151" i="4" s="1"/>
  <c r="M150" i="4"/>
  <c r="U150" i="4" s="1"/>
  <c r="M149" i="4"/>
  <c r="U149" i="4" s="1"/>
  <c r="M148" i="4"/>
  <c r="U148" i="4" s="1"/>
  <c r="M147" i="4"/>
  <c r="U147" i="4" s="1"/>
  <c r="M146" i="4"/>
  <c r="U146" i="4" s="1"/>
  <c r="M145" i="4"/>
  <c r="U145" i="4" s="1"/>
  <c r="M144" i="4"/>
  <c r="U144" i="4" s="1"/>
  <c r="M143" i="4"/>
  <c r="U143" i="4" s="1"/>
  <c r="M142" i="4"/>
  <c r="U142" i="4" s="1"/>
  <c r="M141" i="4"/>
  <c r="U141" i="4" s="1"/>
  <c r="M140" i="4"/>
  <c r="U140" i="4" s="1"/>
  <c r="M139" i="4"/>
  <c r="U139" i="4" s="1"/>
  <c r="M138" i="4"/>
  <c r="U138" i="4" s="1"/>
  <c r="M137" i="4"/>
  <c r="U137" i="4" s="1"/>
  <c r="M136" i="4"/>
  <c r="U136" i="4" s="1"/>
  <c r="M135" i="4"/>
  <c r="U135" i="4" s="1"/>
  <c r="M134" i="4"/>
  <c r="U134" i="4" s="1"/>
  <c r="M133" i="4"/>
  <c r="U133" i="4" s="1"/>
  <c r="M132" i="4"/>
  <c r="U132" i="4" s="1"/>
  <c r="M131" i="4"/>
  <c r="U131" i="4" s="1"/>
  <c r="M130" i="4"/>
  <c r="U130" i="4" s="1"/>
  <c r="M129" i="4"/>
  <c r="U129" i="4" s="1"/>
  <c r="M128" i="4"/>
  <c r="U128" i="4" s="1"/>
  <c r="M127" i="4"/>
  <c r="U127" i="4" s="1"/>
  <c r="M126" i="4"/>
  <c r="U126" i="4" s="1"/>
  <c r="M125" i="4"/>
  <c r="U125" i="4" s="1"/>
  <c r="M124" i="4"/>
  <c r="U124" i="4" s="1"/>
  <c r="M123" i="4"/>
  <c r="U123" i="4" s="1"/>
  <c r="M122" i="4"/>
  <c r="U122" i="4" s="1"/>
  <c r="M121" i="4"/>
  <c r="U121" i="4" s="1"/>
  <c r="M120" i="4"/>
  <c r="U120" i="4" s="1"/>
  <c r="M119" i="4"/>
  <c r="U119" i="4" s="1"/>
  <c r="M118" i="4"/>
  <c r="U118" i="4" s="1"/>
  <c r="M117" i="4"/>
  <c r="U117" i="4" s="1"/>
  <c r="M116" i="4"/>
  <c r="U116" i="4" s="1"/>
  <c r="M115" i="4"/>
  <c r="U115" i="4" s="1"/>
  <c r="M114" i="4"/>
  <c r="U114" i="4" s="1"/>
  <c r="M113" i="4"/>
  <c r="U113" i="4" s="1"/>
  <c r="M112" i="4"/>
  <c r="U112" i="4" s="1"/>
  <c r="M111" i="4"/>
  <c r="U111" i="4" s="1"/>
  <c r="M110" i="4"/>
  <c r="U110" i="4" s="1"/>
  <c r="M109" i="4"/>
  <c r="U109" i="4" s="1"/>
  <c r="M108" i="4"/>
  <c r="U108" i="4" s="1"/>
  <c r="M107" i="4"/>
  <c r="U107" i="4" s="1"/>
  <c r="M106" i="4"/>
  <c r="U106" i="4" s="1"/>
  <c r="M105" i="4"/>
  <c r="U105" i="4" s="1"/>
  <c r="M104" i="4"/>
  <c r="U104" i="4" s="1"/>
  <c r="M103" i="4"/>
  <c r="U103" i="4" s="1"/>
  <c r="M102" i="4"/>
  <c r="U102" i="4" s="1"/>
  <c r="M101" i="4"/>
  <c r="U101" i="4" s="1"/>
  <c r="M100" i="4"/>
  <c r="U100" i="4" s="1"/>
  <c r="M99" i="4"/>
  <c r="U99" i="4" s="1"/>
  <c r="M98" i="4"/>
  <c r="U98" i="4" s="1"/>
  <c r="M97" i="4"/>
  <c r="U97" i="4" s="1"/>
  <c r="M96" i="4"/>
  <c r="U96" i="4" s="1"/>
  <c r="M95" i="4"/>
  <c r="U95" i="4" s="1"/>
  <c r="M94" i="4"/>
  <c r="U94" i="4" s="1"/>
  <c r="M93" i="4"/>
  <c r="U93" i="4" s="1"/>
  <c r="M92" i="4"/>
  <c r="U92" i="4" s="1"/>
  <c r="M91" i="4"/>
  <c r="U91" i="4" s="1"/>
  <c r="M90" i="4"/>
  <c r="U90" i="4" s="1"/>
  <c r="M89" i="4"/>
  <c r="U89" i="4" s="1"/>
  <c r="M88" i="4"/>
  <c r="U88" i="4" s="1"/>
  <c r="M87" i="4"/>
  <c r="U87" i="4" s="1"/>
  <c r="M86" i="4"/>
  <c r="U86" i="4" s="1"/>
  <c r="M85" i="4"/>
  <c r="U85" i="4" s="1"/>
  <c r="M84" i="4"/>
  <c r="U84" i="4" s="1"/>
  <c r="M83" i="4"/>
  <c r="U83" i="4" s="1"/>
  <c r="M82" i="4"/>
  <c r="U82" i="4" s="1"/>
  <c r="M81" i="4"/>
  <c r="U81" i="4" s="1"/>
  <c r="M80" i="4"/>
  <c r="U80" i="4" s="1"/>
  <c r="M79" i="4"/>
  <c r="U79" i="4" s="1"/>
  <c r="M78" i="4"/>
  <c r="U78" i="4" s="1"/>
  <c r="M77" i="4"/>
  <c r="U77" i="4" s="1"/>
  <c r="M76" i="4"/>
  <c r="U76" i="4" s="1"/>
  <c r="M75" i="4"/>
  <c r="U75" i="4" s="1"/>
  <c r="M74" i="4"/>
  <c r="U74" i="4" s="1"/>
  <c r="M73" i="4"/>
  <c r="U73" i="4" s="1"/>
  <c r="M72" i="4"/>
  <c r="U72" i="4" s="1"/>
  <c r="M71" i="4"/>
  <c r="U71" i="4" s="1"/>
  <c r="M70" i="4"/>
  <c r="U70" i="4" s="1"/>
  <c r="M69" i="4"/>
  <c r="U69" i="4" s="1"/>
  <c r="M68" i="4"/>
  <c r="U68" i="4" s="1"/>
  <c r="M67" i="4"/>
  <c r="U67" i="4" s="1"/>
  <c r="M66" i="4"/>
  <c r="U66" i="4" s="1"/>
  <c r="M65" i="4"/>
  <c r="U65" i="4" s="1"/>
  <c r="M64" i="4"/>
  <c r="U64" i="4" s="1"/>
  <c r="M63" i="4"/>
  <c r="U63" i="4" s="1"/>
  <c r="M62" i="4"/>
  <c r="U62" i="4" s="1"/>
  <c r="M61" i="4"/>
  <c r="U61" i="4" s="1"/>
  <c r="M60" i="4"/>
  <c r="U60" i="4" s="1"/>
  <c r="M59" i="4"/>
  <c r="U59" i="4" s="1"/>
  <c r="M58" i="4"/>
  <c r="U58" i="4" s="1"/>
  <c r="M57" i="4"/>
  <c r="U57" i="4" s="1"/>
  <c r="M56" i="4"/>
  <c r="U56" i="4" s="1"/>
  <c r="M55" i="4"/>
  <c r="U55" i="4" s="1"/>
  <c r="M54" i="4"/>
  <c r="U54" i="4" s="1"/>
  <c r="M53" i="4"/>
  <c r="U53" i="4" s="1"/>
  <c r="M52" i="4"/>
  <c r="U52" i="4" s="1"/>
  <c r="M51" i="4"/>
  <c r="U51" i="4" s="1"/>
  <c r="M50" i="4"/>
  <c r="U50" i="4" s="1"/>
  <c r="M49" i="4"/>
  <c r="U49" i="4" s="1"/>
  <c r="M48" i="4"/>
  <c r="U48" i="4" s="1"/>
  <c r="M47" i="4"/>
  <c r="U47" i="4" s="1"/>
  <c r="M46" i="4"/>
  <c r="U46" i="4" s="1"/>
  <c r="M45" i="4"/>
  <c r="U45" i="4" s="1"/>
  <c r="M44" i="4"/>
  <c r="U44" i="4" s="1"/>
  <c r="M43" i="4"/>
  <c r="U43" i="4" s="1"/>
  <c r="M42" i="4"/>
  <c r="U42" i="4" s="1"/>
  <c r="M41" i="4"/>
  <c r="U41" i="4" s="1"/>
  <c r="M40" i="4"/>
  <c r="U40" i="4" s="1"/>
  <c r="M39" i="4"/>
  <c r="U39" i="4" s="1"/>
  <c r="M38" i="4"/>
  <c r="U38" i="4" s="1"/>
  <c r="M37" i="4"/>
  <c r="U37" i="4" s="1"/>
  <c r="M36" i="4"/>
  <c r="U36" i="4" s="1"/>
  <c r="M35" i="4"/>
  <c r="U35" i="4" s="1"/>
  <c r="M34" i="4"/>
  <c r="U34" i="4" s="1"/>
  <c r="M33" i="4"/>
  <c r="U33" i="4" s="1"/>
  <c r="M32" i="4"/>
  <c r="U32" i="4" s="1"/>
  <c r="M31" i="4"/>
  <c r="U31" i="4" s="1"/>
  <c r="M30" i="4"/>
  <c r="U30" i="4" s="1"/>
  <c r="M29" i="4"/>
  <c r="U29" i="4" s="1"/>
  <c r="M28" i="4"/>
  <c r="U28" i="4" s="1"/>
  <c r="M27" i="4"/>
  <c r="U27" i="4" s="1"/>
  <c r="M26" i="4"/>
  <c r="U26" i="4" s="1"/>
  <c r="M25" i="4"/>
  <c r="U25" i="4" s="1"/>
  <c r="M24" i="4"/>
  <c r="U24" i="4" s="1"/>
  <c r="M23" i="4"/>
  <c r="U23" i="4" s="1"/>
  <c r="M22" i="4"/>
  <c r="U22" i="4" s="1"/>
  <c r="M21" i="4"/>
  <c r="U21" i="4" s="1"/>
  <c r="M20" i="4"/>
  <c r="U20" i="4" s="1"/>
  <c r="M19" i="4"/>
  <c r="U19" i="4" s="1"/>
  <c r="M18" i="4"/>
  <c r="U18" i="4" s="1"/>
  <c r="M17" i="4"/>
  <c r="U17" i="4" s="1"/>
  <c r="M16" i="4"/>
  <c r="U16" i="4" s="1"/>
  <c r="M15" i="4"/>
  <c r="U15" i="4" s="1"/>
  <c r="M14" i="4"/>
  <c r="U14" i="4" s="1"/>
  <c r="M13" i="4"/>
  <c r="U13" i="4" s="1"/>
  <c r="M12" i="4"/>
  <c r="U12" i="4" s="1"/>
  <c r="M11" i="4"/>
  <c r="U11" i="4" s="1"/>
  <c r="M10" i="4"/>
  <c r="U10" i="4" s="1"/>
  <c r="M9" i="4"/>
  <c r="U9" i="4" s="1"/>
  <c r="M8" i="4"/>
  <c r="U8" i="4" s="1"/>
  <c r="M7" i="4"/>
  <c r="U7" i="4" s="1"/>
  <c r="M6" i="4"/>
  <c r="U6" i="4" s="1"/>
  <c r="M4" i="4"/>
  <c r="U4" i="4" s="1"/>
  <c r="M3" i="4"/>
  <c r="U3" i="4" s="1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4" i="4"/>
  <c r="N3" i="4"/>
  <c r="N2" i="4"/>
  <c r="O499" i="4"/>
  <c r="O498" i="4"/>
  <c r="P498" i="4" s="1"/>
  <c r="O497" i="4"/>
  <c r="P497" i="4" s="1"/>
  <c r="O496" i="4"/>
  <c r="P496" i="4" s="1"/>
  <c r="O495" i="4"/>
  <c r="P495" i="4" s="1"/>
  <c r="O494" i="4"/>
  <c r="P494" i="4" s="1"/>
  <c r="O493" i="4"/>
  <c r="P493" i="4" s="1"/>
  <c r="O492" i="4"/>
  <c r="P492" i="4" s="1"/>
  <c r="O491" i="4"/>
  <c r="P491" i="4" s="1"/>
  <c r="O490" i="4"/>
  <c r="P490" i="4" s="1"/>
  <c r="O489" i="4"/>
  <c r="P489" i="4" s="1"/>
  <c r="O488" i="4"/>
  <c r="P488" i="4" s="1"/>
  <c r="O487" i="4"/>
  <c r="P487" i="4" s="1"/>
  <c r="O486" i="4"/>
  <c r="P486" i="4" s="1"/>
  <c r="O485" i="4"/>
  <c r="P485" i="4" s="1"/>
  <c r="O484" i="4"/>
  <c r="P484" i="4" s="1"/>
  <c r="O483" i="4"/>
  <c r="P483" i="4" s="1"/>
  <c r="O482" i="4"/>
  <c r="P482" i="4" s="1"/>
  <c r="O481" i="4"/>
  <c r="P481" i="4" s="1"/>
  <c r="O480" i="4"/>
  <c r="P480" i="4" s="1"/>
  <c r="O479" i="4"/>
  <c r="P479" i="4" s="1"/>
  <c r="O478" i="4"/>
  <c r="P478" i="4" s="1"/>
  <c r="O477" i="4"/>
  <c r="P477" i="4" s="1"/>
  <c r="O476" i="4"/>
  <c r="P476" i="4" s="1"/>
  <c r="O475" i="4"/>
  <c r="P475" i="4" s="1"/>
  <c r="O474" i="4"/>
  <c r="P474" i="4" s="1"/>
  <c r="O473" i="4"/>
  <c r="P473" i="4" s="1"/>
  <c r="O472" i="4"/>
  <c r="P472" i="4" s="1"/>
  <c r="O471" i="4"/>
  <c r="P471" i="4" s="1"/>
  <c r="O470" i="4"/>
  <c r="P470" i="4" s="1"/>
  <c r="O469" i="4"/>
  <c r="P469" i="4" s="1"/>
  <c r="O468" i="4"/>
  <c r="P468" i="4" s="1"/>
  <c r="O467" i="4"/>
  <c r="P467" i="4" s="1"/>
  <c r="O466" i="4"/>
  <c r="P466" i="4" s="1"/>
  <c r="O465" i="4"/>
  <c r="P465" i="4" s="1"/>
  <c r="O464" i="4"/>
  <c r="P464" i="4" s="1"/>
  <c r="O463" i="4"/>
  <c r="P463" i="4" s="1"/>
  <c r="O462" i="4"/>
  <c r="P462" i="4" s="1"/>
  <c r="O461" i="4"/>
  <c r="P461" i="4" s="1"/>
  <c r="O460" i="4"/>
  <c r="P460" i="4" s="1"/>
  <c r="O459" i="4"/>
  <c r="P459" i="4" s="1"/>
  <c r="O458" i="4"/>
  <c r="P458" i="4" s="1"/>
  <c r="O457" i="4"/>
  <c r="P457" i="4" s="1"/>
  <c r="O456" i="4"/>
  <c r="P456" i="4" s="1"/>
  <c r="O455" i="4"/>
  <c r="P455" i="4" s="1"/>
  <c r="O454" i="4"/>
  <c r="P454" i="4" s="1"/>
  <c r="O453" i="4"/>
  <c r="P453" i="4" s="1"/>
  <c r="O452" i="4"/>
  <c r="P452" i="4" s="1"/>
  <c r="O451" i="4"/>
  <c r="P451" i="4" s="1"/>
  <c r="O450" i="4"/>
  <c r="P450" i="4" s="1"/>
  <c r="O449" i="4"/>
  <c r="P449" i="4" s="1"/>
  <c r="O448" i="4"/>
  <c r="P448" i="4" s="1"/>
  <c r="O447" i="4"/>
  <c r="P447" i="4" s="1"/>
  <c r="O446" i="4"/>
  <c r="P446" i="4" s="1"/>
  <c r="O445" i="4"/>
  <c r="P445" i="4" s="1"/>
  <c r="O444" i="4"/>
  <c r="P444" i="4" s="1"/>
  <c r="O443" i="4"/>
  <c r="P443" i="4" s="1"/>
  <c r="O442" i="4"/>
  <c r="P442" i="4" s="1"/>
  <c r="O441" i="4"/>
  <c r="P441" i="4" s="1"/>
  <c r="O440" i="4"/>
  <c r="P440" i="4" s="1"/>
  <c r="O439" i="4"/>
  <c r="P439" i="4" s="1"/>
  <c r="O438" i="4"/>
  <c r="P438" i="4" s="1"/>
  <c r="O437" i="4"/>
  <c r="P437" i="4" s="1"/>
  <c r="O436" i="4"/>
  <c r="P436" i="4" s="1"/>
  <c r="O435" i="4"/>
  <c r="P435" i="4" s="1"/>
  <c r="O434" i="4"/>
  <c r="P434" i="4" s="1"/>
  <c r="O433" i="4"/>
  <c r="P433" i="4" s="1"/>
  <c r="O432" i="4"/>
  <c r="P432" i="4" s="1"/>
  <c r="O431" i="4"/>
  <c r="P431" i="4" s="1"/>
  <c r="O430" i="4"/>
  <c r="P430" i="4" s="1"/>
  <c r="O429" i="4"/>
  <c r="P429" i="4" s="1"/>
  <c r="O428" i="4"/>
  <c r="P428" i="4" s="1"/>
  <c r="O427" i="4"/>
  <c r="P427" i="4" s="1"/>
  <c r="O426" i="4"/>
  <c r="P426" i="4" s="1"/>
  <c r="O425" i="4"/>
  <c r="P425" i="4" s="1"/>
  <c r="O424" i="4"/>
  <c r="P424" i="4" s="1"/>
  <c r="O423" i="4"/>
  <c r="P423" i="4" s="1"/>
  <c r="O422" i="4"/>
  <c r="P422" i="4" s="1"/>
  <c r="O421" i="4"/>
  <c r="P421" i="4" s="1"/>
  <c r="O420" i="4"/>
  <c r="P420" i="4" s="1"/>
  <c r="O419" i="4"/>
  <c r="P419" i="4" s="1"/>
  <c r="O418" i="4"/>
  <c r="P418" i="4" s="1"/>
  <c r="O417" i="4"/>
  <c r="P417" i="4" s="1"/>
  <c r="O416" i="4"/>
  <c r="P416" i="4" s="1"/>
  <c r="O415" i="4"/>
  <c r="P415" i="4" s="1"/>
  <c r="O414" i="4"/>
  <c r="P414" i="4" s="1"/>
  <c r="O413" i="4"/>
  <c r="P413" i="4" s="1"/>
  <c r="O412" i="4"/>
  <c r="P412" i="4" s="1"/>
  <c r="O411" i="4"/>
  <c r="P411" i="4" s="1"/>
  <c r="O410" i="4"/>
  <c r="P410" i="4" s="1"/>
  <c r="O409" i="4"/>
  <c r="P409" i="4" s="1"/>
  <c r="O408" i="4"/>
  <c r="P408" i="4" s="1"/>
  <c r="O407" i="4"/>
  <c r="P407" i="4" s="1"/>
  <c r="O406" i="4"/>
  <c r="P406" i="4" s="1"/>
  <c r="O405" i="4"/>
  <c r="P405" i="4" s="1"/>
  <c r="O404" i="4"/>
  <c r="P404" i="4" s="1"/>
  <c r="O403" i="4"/>
  <c r="P403" i="4" s="1"/>
  <c r="O402" i="4"/>
  <c r="P402" i="4" s="1"/>
  <c r="O401" i="4"/>
  <c r="P401" i="4" s="1"/>
  <c r="O400" i="4"/>
  <c r="P400" i="4" s="1"/>
  <c r="O399" i="4"/>
  <c r="P399" i="4" s="1"/>
  <c r="O398" i="4"/>
  <c r="P398" i="4" s="1"/>
  <c r="O397" i="4"/>
  <c r="P397" i="4" s="1"/>
  <c r="O396" i="4"/>
  <c r="P396" i="4" s="1"/>
  <c r="O395" i="4"/>
  <c r="P395" i="4" s="1"/>
  <c r="O394" i="4"/>
  <c r="P394" i="4" s="1"/>
  <c r="O393" i="4"/>
  <c r="P393" i="4" s="1"/>
  <c r="O392" i="4"/>
  <c r="P392" i="4" s="1"/>
  <c r="O391" i="4"/>
  <c r="P391" i="4" s="1"/>
  <c r="O390" i="4"/>
  <c r="P390" i="4" s="1"/>
  <c r="O389" i="4"/>
  <c r="P389" i="4" s="1"/>
  <c r="O388" i="4"/>
  <c r="P388" i="4" s="1"/>
  <c r="O387" i="4"/>
  <c r="P387" i="4" s="1"/>
  <c r="O386" i="4"/>
  <c r="P386" i="4" s="1"/>
  <c r="O385" i="4"/>
  <c r="P385" i="4" s="1"/>
  <c r="O384" i="4"/>
  <c r="P384" i="4" s="1"/>
  <c r="O383" i="4"/>
  <c r="P383" i="4" s="1"/>
  <c r="O382" i="4"/>
  <c r="P382" i="4" s="1"/>
  <c r="O381" i="4"/>
  <c r="P381" i="4" s="1"/>
  <c r="O380" i="4"/>
  <c r="P380" i="4" s="1"/>
  <c r="O379" i="4"/>
  <c r="P379" i="4" s="1"/>
  <c r="O378" i="4"/>
  <c r="P378" i="4" s="1"/>
  <c r="O377" i="4"/>
  <c r="P377" i="4" s="1"/>
  <c r="O376" i="4"/>
  <c r="P376" i="4" s="1"/>
  <c r="O375" i="4"/>
  <c r="P375" i="4" s="1"/>
  <c r="O374" i="4"/>
  <c r="P374" i="4" s="1"/>
  <c r="O373" i="4"/>
  <c r="P373" i="4" s="1"/>
  <c r="O372" i="4"/>
  <c r="P372" i="4" s="1"/>
  <c r="O371" i="4"/>
  <c r="P371" i="4" s="1"/>
  <c r="O370" i="4"/>
  <c r="P370" i="4" s="1"/>
  <c r="O369" i="4"/>
  <c r="P369" i="4" s="1"/>
  <c r="O368" i="4"/>
  <c r="P368" i="4" s="1"/>
  <c r="O367" i="4"/>
  <c r="P367" i="4" s="1"/>
  <c r="O366" i="4"/>
  <c r="P366" i="4" s="1"/>
  <c r="O365" i="4"/>
  <c r="P365" i="4" s="1"/>
  <c r="O364" i="4"/>
  <c r="P364" i="4" s="1"/>
  <c r="O363" i="4"/>
  <c r="P363" i="4" s="1"/>
  <c r="O362" i="4"/>
  <c r="P362" i="4" s="1"/>
  <c r="O361" i="4"/>
  <c r="P361" i="4" s="1"/>
  <c r="O360" i="4"/>
  <c r="P360" i="4" s="1"/>
  <c r="O359" i="4"/>
  <c r="P359" i="4" s="1"/>
  <c r="O358" i="4"/>
  <c r="P358" i="4" s="1"/>
  <c r="O357" i="4"/>
  <c r="P357" i="4" s="1"/>
  <c r="O356" i="4"/>
  <c r="P356" i="4" s="1"/>
  <c r="O355" i="4"/>
  <c r="P355" i="4" s="1"/>
  <c r="O354" i="4"/>
  <c r="P354" i="4" s="1"/>
  <c r="O353" i="4"/>
  <c r="P353" i="4" s="1"/>
  <c r="O352" i="4"/>
  <c r="P352" i="4" s="1"/>
  <c r="O351" i="4"/>
  <c r="P351" i="4" s="1"/>
  <c r="O350" i="4"/>
  <c r="P350" i="4" s="1"/>
  <c r="O349" i="4"/>
  <c r="P349" i="4" s="1"/>
  <c r="O348" i="4"/>
  <c r="P348" i="4" s="1"/>
  <c r="O347" i="4"/>
  <c r="P347" i="4" s="1"/>
  <c r="O346" i="4"/>
  <c r="P346" i="4" s="1"/>
  <c r="O345" i="4"/>
  <c r="P345" i="4" s="1"/>
  <c r="O344" i="4"/>
  <c r="P344" i="4" s="1"/>
  <c r="O343" i="4"/>
  <c r="P343" i="4" s="1"/>
  <c r="O342" i="4"/>
  <c r="P342" i="4" s="1"/>
  <c r="O341" i="4"/>
  <c r="P341" i="4" s="1"/>
  <c r="O340" i="4"/>
  <c r="P340" i="4" s="1"/>
  <c r="O339" i="4"/>
  <c r="P339" i="4" s="1"/>
  <c r="O338" i="4"/>
  <c r="P338" i="4" s="1"/>
  <c r="O337" i="4"/>
  <c r="P337" i="4" s="1"/>
  <c r="O336" i="4"/>
  <c r="P336" i="4" s="1"/>
  <c r="O335" i="4"/>
  <c r="P335" i="4" s="1"/>
  <c r="O334" i="4"/>
  <c r="P334" i="4" s="1"/>
  <c r="O333" i="4"/>
  <c r="P333" i="4" s="1"/>
  <c r="O332" i="4"/>
  <c r="P332" i="4" s="1"/>
  <c r="O331" i="4"/>
  <c r="P331" i="4" s="1"/>
  <c r="O330" i="4"/>
  <c r="P330" i="4" s="1"/>
  <c r="O329" i="4"/>
  <c r="P329" i="4" s="1"/>
  <c r="O328" i="4"/>
  <c r="P328" i="4" s="1"/>
  <c r="O327" i="4"/>
  <c r="P327" i="4" s="1"/>
  <c r="O326" i="4"/>
  <c r="P326" i="4" s="1"/>
  <c r="O325" i="4"/>
  <c r="P325" i="4" s="1"/>
  <c r="O324" i="4"/>
  <c r="P324" i="4" s="1"/>
  <c r="O323" i="4"/>
  <c r="P323" i="4" s="1"/>
  <c r="O322" i="4"/>
  <c r="P322" i="4" s="1"/>
  <c r="O321" i="4"/>
  <c r="P321" i="4" s="1"/>
  <c r="O320" i="4"/>
  <c r="P320" i="4" s="1"/>
  <c r="O319" i="4"/>
  <c r="P319" i="4" s="1"/>
  <c r="O318" i="4"/>
  <c r="P318" i="4" s="1"/>
  <c r="O317" i="4"/>
  <c r="P317" i="4" s="1"/>
  <c r="O316" i="4"/>
  <c r="P316" i="4" s="1"/>
  <c r="O315" i="4"/>
  <c r="P315" i="4" s="1"/>
  <c r="O314" i="4"/>
  <c r="P314" i="4" s="1"/>
  <c r="O313" i="4"/>
  <c r="P313" i="4" s="1"/>
  <c r="O312" i="4"/>
  <c r="P312" i="4" s="1"/>
  <c r="O311" i="4"/>
  <c r="P311" i="4" s="1"/>
  <c r="O310" i="4"/>
  <c r="P310" i="4" s="1"/>
  <c r="O309" i="4"/>
  <c r="P309" i="4" s="1"/>
  <c r="O308" i="4"/>
  <c r="P308" i="4" s="1"/>
  <c r="O307" i="4"/>
  <c r="P307" i="4" s="1"/>
  <c r="O306" i="4"/>
  <c r="P306" i="4" s="1"/>
  <c r="O305" i="4"/>
  <c r="P305" i="4" s="1"/>
  <c r="O304" i="4"/>
  <c r="P304" i="4" s="1"/>
  <c r="O303" i="4"/>
  <c r="P303" i="4" s="1"/>
  <c r="O302" i="4"/>
  <c r="P302" i="4" s="1"/>
  <c r="O301" i="4"/>
  <c r="P301" i="4" s="1"/>
  <c r="O300" i="4"/>
  <c r="P300" i="4" s="1"/>
  <c r="O299" i="4"/>
  <c r="P299" i="4" s="1"/>
  <c r="O298" i="4"/>
  <c r="P298" i="4" s="1"/>
  <c r="O297" i="4"/>
  <c r="P297" i="4" s="1"/>
  <c r="O296" i="4"/>
  <c r="P296" i="4" s="1"/>
  <c r="O295" i="4"/>
  <c r="P295" i="4" s="1"/>
  <c r="O294" i="4"/>
  <c r="P294" i="4" s="1"/>
  <c r="O293" i="4"/>
  <c r="P293" i="4" s="1"/>
  <c r="O292" i="4"/>
  <c r="P292" i="4" s="1"/>
  <c r="O291" i="4"/>
  <c r="P291" i="4" s="1"/>
  <c r="O290" i="4"/>
  <c r="P290" i="4" s="1"/>
  <c r="O289" i="4"/>
  <c r="P289" i="4" s="1"/>
  <c r="O288" i="4"/>
  <c r="P288" i="4" s="1"/>
  <c r="O287" i="4"/>
  <c r="P287" i="4" s="1"/>
  <c r="O286" i="4"/>
  <c r="P286" i="4" s="1"/>
  <c r="O285" i="4"/>
  <c r="P285" i="4" s="1"/>
  <c r="O284" i="4"/>
  <c r="P284" i="4" s="1"/>
  <c r="O283" i="4"/>
  <c r="P283" i="4" s="1"/>
  <c r="O282" i="4"/>
  <c r="P282" i="4" s="1"/>
  <c r="O281" i="4"/>
  <c r="P281" i="4" s="1"/>
  <c r="O280" i="4"/>
  <c r="P280" i="4" s="1"/>
  <c r="O279" i="4"/>
  <c r="P279" i="4" s="1"/>
  <c r="O278" i="4"/>
  <c r="P278" i="4" s="1"/>
  <c r="O277" i="4"/>
  <c r="P277" i="4" s="1"/>
  <c r="O276" i="4"/>
  <c r="P276" i="4" s="1"/>
  <c r="O275" i="4"/>
  <c r="P275" i="4" s="1"/>
  <c r="O274" i="4"/>
  <c r="P274" i="4" s="1"/>
  <c r="O273" i="4"/>
  <c r="P273" i="4" s="1"/>
  <c r="O272" i="4"/>
  <c r="P272" i="4" s="1"/>
  <c r="O271" i="4"/>
  <c r="P271" i="4" s="1"/>
  <c r="O270" i="4"/>
  <c r="P270" i="4" s="1"/>
  <c r="O269" i="4"/>
  <c r="P269" i="4" s="1"/>
  <c r="O268" i="4"/>
  <c r="P268" i="4" s="1"/>
  <c r="O267" i="4"/>
  <c r="P267" i="4" s="1"/>
  <c r="O266" i="4"/>
  <c r="P266" i="4" s="1"/>
  <c r="O265" i="4"/>
  <c r="P265" i="4" s="1"/>
  <c r="O264" i="4"/>
  <c r="P264" i="4" s="1"/>
  <c r="O263" i="4"/>
  <c r="P263" i="4" s="1"/>
  <c r="O262" i="4"/>
  <c r="P262" i="4" s="1"/>
  <c r="O261" i="4"/>
  <c r="P261" i="4" s="1"/>
  <c r="O260" i="4"/>
  <c r="P260" i="4" s="1"/>
  <c r="O259" i="4"/>
  <c r="P259" i="4" s="1"/>
  <c r="O258" i="4"/>
  <c r="P258" i="4" s="1"/>
  <c r="O257" i="4"/>
  <c r="P257" i="4" s="1"/>
  <c r="O256" i="4"/>
  <c r="P256" i="4" s="1"/>
  <c r="O255" i="4"/>
  <c r="P255" i="4" s="1"/>
  <c r="O254" i="4"/>
  <c r="P254" i="4" s="1"/>
  <c r="O253" i="4"/>
  <c r="P253" i="4" s="1"/>
  <c r="O252" i="4"/>
  <c r="P252" i="4" s="1"/>
  <c r="O251" i="4"/>
  <c r="P251" i="4" s="1"/>
  <c r="O250" i="4"/>
  <c r="P250" i="4" s="1"/>
  <c r="O249" i="4"/>
  <c r="P249" i="4" s="1"/>
  <c r="O248" i="4"/>
  <c r="P248" i="4" s="1"/>
  <c r="O247" i="4"/>
  <c r="P247" i="4" s="1"/>
  <c r="O246" i="4"/>
  <c r="P246" i="4" s="1"/>
  <c r="O245" i="4"/>
  <c r="P245" i="4" s="1"/>
  <c r="O244" i="4"/>
  <c r="P244" i="4" s="1"/>
  <c r="O243" i="4"/>
  <c r="P243" i="4" s="1"/>
  <c r="O242" i="4"/>
  <c r="P242" i="4" s="1"/>
  <c r="O241" i="4"/>
  <c r="P241" i="4" s="1"/>
  <c r="O240" i="4"/>
  <c r="P240" i="4" s="1"/>
  <c r="O239" i="4"/>
  <c r="P239" i="4" s="1"/>
  <c r="O238" i="4"/>
  <c r="P238" i="4" s="1"/>
  <c r="O237" i="4"/>
  <c r="P237" i="4" s="1"/>
  <c r="O236" i="4"/>
  <c r="P236" i="4" s="1"/>
  <c r="O235" i="4"/>
  <c r="P235" i="4" s="1"/>
  <c r="O234" i="4"/>
  <c r="P234" i="4" s="1"/>
  <c r="O233" i="4"/>
  <c r="P233" i="4" s="1"/>
  <c r="O232" i="4"/>
  <c r="P232" i="4" s="1"/>
  <c r="O231" i="4"/>
  <c r="P231" i="4" s="1"/>
  <c r="O230" i="4"/>
  <c r="P230" i="4" s="1"/>
  <c r="O229" i="4"/>
  <c r="P229" i="4" s="1"/>
  <c r="O228" i="4"/>
  <c r="P228" i="4" s="1"/>
  <c r="O227" i="4"/>
  <c r="P227" i="4" s="1"/>
  <c r="O226" i="4"/>
  <c r="P226" i="4" s="1"/>
  <c r="O225" i="4"/>
  <c r="P225" i="4" s="1"/>
  <c r="O224" i="4"/>
  <c r="P224" i="4" s="1"/>
  <c r="O223" i="4"/>
  <c r="P223" i="4" s="1"/>
  <c r="O222" i="4"/>
  <c r="P222" i="4" s="1"/>
  <c r="O221" i="4"/>
  <c r="P221" i="4" s="1"/>
  <c r="O220" i="4"/>
  <c r="P220" i="4" s="1"/>
  <c r="O219" i="4"/>
  <c r="P219" i="4" s="1"/>
  <c r="O218" i="4"/>
  <c r="P218" i="4" s="1"/>
  <c r="O217" i="4"/>
  <c r="P217" i="4" s="1"/>
  <c r="O216" i="4"/>
  <c r="P216" i="4" s="1"/>
  <c r="O215" i="4"/>
  <c r="P215" i="4" s="1"/>
  <c r="O214" i="4"/>
  <c r="P214" i="4" s="1"/>
  <c r="O213" i="4"/>
  <c r="P213" i="4" s="1"/>
  <c r="O212" i="4"/>
  <c r="P212" i="4" s="1"/>
  <c r="O211" i="4"/>
  <c r="P211" i="4" s="1"/>
  <c r="O210" i="4"/>
  <c r="P210" i="4" s="1"/>
  <c r="O209" i="4"/>
  <c r="P209" i="4" s="1"/>
  <c r="O208" i="4"/>
  <c r="P208" i="4" s="1"/>
  <c r="O207" i="4"/>
  <c r="P207" i="4" s="1"/>
  <c r="O206" i="4"/>
  <c r="P206" i="4" s="1"/>
  <c r="O205" i="4"/>
  <c r="P205" i="4" s="1"/>
  <c r="O204" i="4"/>
  <c r="P204" i="4" s="1"/>
  <c r="O203" i="4"/>
  <c r="P203" i="4" s="1"/>
  <c r="O202" i="4"/>
  <c r="P202" i="4" s="1"/>
  <c r="O201" i="4"/>
  <c r="P201" i="4" s="1"/>
  <c r="O200" i="4"/>
  <c r="P200" i="4" s="1"/>
  <c r="O199" i="4"/>
  <c r="P199" i="4" s="1"/>
  <c r="O198" i="4"/>
  <c r="P198" i="4" s="1"/>
  <c r="O197" i="4"/>
  <c r="P197" i="4" s="1"/>
  <c r="O196" i="4"/>
  <c r="P196" i="4" s="1"/>
  <c r="O195" i="4"/>
  <c r="P195" i="4" s="1"/>
  <c r="O194" i="4"/>
  <c r="P194" i="4" s="1"/>
  <c r="O193" i="4"/>
  <c r="P193" i="4" s="1"/>
  <c r="O192" i="4"/>
  <c r="P192" i="4" s="1"/>
  <c r="O191" i="4"/>
  <c r="P191" i="4" s="1"/>
  <c r="O190" i="4"/>
  <c r="P190" i="4" s="1"/>
  <c r="O189" i="4"/>
  <c r="P189" i="4" s="1"/>
  <c r="O188" i="4"/>
  <c r="P188" i="4" s="1"/>
  <c r="O187" i="4"/>
  <c r="P187" i="4" s="1"/>
  <c r="O186" i="4"/>
  <c r="P186" i="4" s="1"/>
  <c r="O185" i="4"/>
  <c r="P185" i="4" s="1"/>
  <c r="O184" i="4"/>
  <c r="P184" i="4" s="1"/>
  <c r="O183" i="4"/>
  <c r="P183" i="4" s="1"/>
  <c r="O182" i="4"/>
  <c r="P182" i="4" s="1"/>
  <c r="O181" i="4"/>
  <c r="P181" i="4" s="1"/>
  <c r="O180" i="4"/>
  <c r="P180" i="4" s="1"/>
  <c r="O179" i="4"/>
  <c r="P179" i="4" s="1"/>
  <c r="O178" i="4"/>
  <c r="P178" i="4" s="1"/>
  <c r="O177" i="4"/>
  <c r="P177" i="4" s="1"/>
  <c r="O176" i="4"/>
  <c r="P176" i="4" s="1"/>
  <c r="O175" i="4"/>
  <c r="P175" i="4" s="1"/>
  <c r="O174" i="4"/>
  <c r="P174" i="4" s="1"/>
  <c r="O173" i="4"/>
  <c r="P173" i="4" s="1"/>
  <c r="O172" i="4"/>
  <c r="P172" i="4" s="1"/>
  <c r="O171" i="4"/>
  <c r="P171" i="4" s="1"/>
  <c r="O170" i="4"/>
  <c r="P170" i="4" s="1"/>
  <c r="O169" i="4"/>
  <c r="P169" i="4" s="1"/>
  <c r="O168" i="4"/>
  <c r="P168" i="4" s="1"/>
  <c r="O167" i="4"/>
  <c r="P167" i="4" s="1"/>
  <c r="O166" i="4"/>
  <c r="P166" i="4" s="1"/>
  <c r="O165" i="4"/>
  <c r="P165" i="4" s="1"/>
  <c r="O164" i="4"/>
  <c r="P164" i="4" s="1"/>
  <c r="O163" i="4"/>
  <c r="P163" i="4" s="1"/>
  <c r="O162" i="4"/>
  <c r="P162" i="4" s="1"/>
  <c r="O161" i="4"/>
  <c r="P161" i="4" s="1"/>
  <c r="O160" i="4"/>
  <c r="P160" i="4" s="1"/>
  <c r="O159" i="4"/>
  <c r="P159" i="4" s="1"/>
  <c r="O158" i="4"/>
  <c r="P158" i="4" s="1"/>
  <c r="O157" i="4"/>
  <c r="P157" i="4" s="1"/>
  <c r="O156" i="4"/>
  <c r="P156" i="4" s="1"/>
  <c r="O155" i="4"/>
  <c r="P155" i="4" s="1"/>
  <c r="O154" i="4"/>
  <c r="P154" i="4" s="1"/>
  <c r="O153" i="4"/>
  <c r="P153" i="4" s="1"/>
  <c r="O152" i="4"/>
  <c r="P152" i="4" s="1"/>
  <c r="O151" i="4"/>
  <c r="P151" i="4" s="1"/>
  <c r="O150" i="4"/>
  <c r="P150" i="4" s="1"/>
  <c r="O149" i="4"/>
  <c r="P149" i="4" s="1"/>
  <c r="O148" i="4"/>
  <c r="P148" i="4" s="1"/>
  <c r="O147" i="4"/>
  <c r="P147" i="4" s="1"/>
  <c r="O146" i="4"/>
  <c r="P146" i="4" s="1"/>
  <c r="O145" i="4"/>
  <c r="P145" i="4" s="1"/>
  <c r="O144" i="4"/>
  <c r="P144" i="4" s="1"/>
  <c r="O143" i="4"/>
  <c r="P143" i="4" s="1"/>
  <c r="O142" i="4"/>
  <c r="P142" i="4" s="1"/>
  <c r="O141" i="4"/>
  <c r="P141" i="4" s="1"/>
  <c r="O140" i="4"/>
  <c r="P140" i="4" s="1"/>
  <c r="O139" i="4"/>
  <c r="P139" i="4" s="1"/>
  <c r="O138" i="4"/>
  <c r="P138" i="4" s="1"/>
  <c r="O137" i="4"/>
  <c r="P137" i="4" s="1"/>
  <c r="O136" i="4"/>
  <c r="P136" i="4" s="1"/>
  <c r="O135" i="4"/>
  <c r="P135" i="4" s="1"/>
  <c r="O134" i="4"/>
  <c r="P134" i="4" s="1"/>
  <c r="O133" i="4"/>
  <c r="P133" i="4" s="1"/>
  <c r="O132" i="4"/>
  <c r="P132" i="4" s="1"/>
  <c r="O131" i="4"/>
  <c r="P131" i="4" s="1"/>
  <c r="O130" i="4"/>
  <c r="P130" i="4" s="1"/>
  <c r="O129" i="4"/>
  <c r="P129" i="4" s="1"/>
  <c r="O128" i="4"/>
  <c r="P128" i="4" s="1"/>
  <c r="O127" i="4"/>
  <c r="P127" i="4" s="1"/>
  <c r="O126" i="4"/>
  <c r="P126" i="4" s="1"/>
  <c r="O125" i="4"/>
  <c r="P125" i="4" s="1"/>
  <c r="O124" i="4"/>
  <c r="P124" i="4" s="1"/>
  <c r="O123" i="4"/>
  <c r="P123" i="4" s="1"/>
  <c r="O122" i="4"/>
  <c r="P122" i="4" s="1"/>
  <c r="O121" i="4"/>
  <c r="P121" i="4" s="1"/>
  <c r="O120" i="4"/>
  <c r="P120" i="4" s="1"/>
  <c r="O119" i="4"/>
  <c r="P119" i="4" s="1"/>
  <c r="O118" i="4"/>
  <c r="P118" i="4" s="1"/>
  <c r="O117" i="4"/>
  <c r="P117" i="4" s="1"/>
  <c r="O116" i="4"/>
  <c r="P116" i="4" s="1"/>
  <c r="O115" i="4"/>
  <c r="P115" i="4" s="1"/>
  <c r="O114" i="4"/>
  <c r="P114" i="4" s="1"/>
  <c r="O113" i="4"/>
  <c r="P113" i="4" s="1"/>
  <c r="O112" i="4"/>
  <c r="P112" i="4" s="1"/>
  <c r="O111" i="4"/>
  <c r="P111" i="4" s="1"/>
  <c r="O110" i="4"/>
  <c r="P110" i="4" s="1"/>
  <c r="O109" i="4"/>
  <c r="P109" i="4" s="1"/>
  <c r="O108" i="4"/>
  <c r="P108" i="4" s="1"/>
  <c r="O107" i="4"/>
  <c r="P107" i="4" s="1"/>
  <c r="O106" i="4"/>
  <c r="P106" i="4" s="1"/>
  <c r="O105" i="4"/>
  <c r="P105" i="4" s="1"/>
  <c r="O104" i="4"/>
  <c r="P104" i="4" s="1"/>
  <c r="O103" i="4"/>
  <c r="P103" i="4" s="1"/>
  <c r="O102" i="4"/>
  <c r="P102" i="4" s="1"/>
  <c r="O101" i="4"/>
  <c r="P101" i="4" s="1"/>
  <c r="O100" i="4"/>
  <c r="P100" i="4" s="1"/>
  <c r="O99" i="4"/>
  <c r="P99" i="4" s="1"/>
  <c r="O98" i="4"/>
  <c r="P98" i="4" s="1"/>
  <c r="O97" i="4"/>
  <c r="P97" i="4" s="1"/>
  <c r="O96" i="4"/>
  <c r="P96" i="4" s="1"/>
  <c r="O95" i="4"/>
  <c r="P95" i="4" s="1"/>
  <c r="O94" i="4"/>
  <c r="P94" i="4" s="1"/>
  <c r="O93" i="4"/>
  <c r="P93" i="4" s="1"/>
  <c r="O92" i="4"/>
  <c r="P92" i="4" s="1"/>
  <c r="O91" i="4"/>
  <c r="P91" i="4" s="1"/>
  <c r="O90" i="4"/>
  <c r="P90" i="4" s="1"/>
  <c r="O89" i="4"/>
  <c r="P89" i="4" s="1"/>
  <c r="O88" i="4"/>
  <c r="P88" i="4" s="1"/>
  <c r="O87" i="4"/>
  <c r="P87" i="4" s="1"/>
  <c r="O86" i="4"/>
  <c r="P86" i="4" s="1"/>
  <c r="O85" i="4"/>
  <c r="P85" i="4" s="1"/>
  <c r="O84" i="4"/>
  <c r="P84" i="4" s="1"/>
  <c r="O83" i="4"/>
  <c r="P83" i="4" s="1"/>
  <c r="O82" i="4"/>
  <c r="P82" i="4" s="1"/>
  <c r="O81" i="4"/>
  <c r="P81" i="4" s="1"/>
  <c r="O80" i="4"/>
  <c r="P80" i="4" s="1"/>
  <c r="O79" i="4"/>
  <c r="P79" i="4" s="1"/>
  <c r="O78" i="4"/>
  <c r="P78" i="4" s="1"/>
  <c r="O77" i="4"/>
  <c r="P77" i="4" s="1"/>
  <c r="O76" i="4"/>
  <c r="P76" i="4" s="1"/>
  <c r="O75" i="4"/>
  <c r="P75" i="4" s="1"/>
  <c r="O74" i="4"/>
  <c r="P74" i="4" s="1"/>
  <c r="O73" i="4"/>
  <c r="P73" i="4" s="1"/>
  <c r="O72" i="4"/>
  <c r="P72" i="4" s="1"/>
  <c r="O71" i="4"/>
  <c r="P71" i="4" s="1"/>
  <c r="O70" i="4"/>
  <c r="P70" i="4" s="1"/>
  <c r="O69" i="4"/>
  <c r="P69" i="4" s="1"/>
  <c r="O68" i="4"/>
  <c r="P68" i="4" s="1"/>
  <c r="O67" i="4"/>
  <c r="P67" i="4" s="1"/>
  <c r="O66" i="4"/>
  <c r="P66" i="4" s="1"/>
  <c r="O65" i="4"/>
  <c r="P65" i="4" s="1"/>
  <c r="O64" i="4"/>
  <c r="P64" i="4" s="1"/>
  <c r="O63" i="4"/>
  <c r="P63" i="4" s="1"/>
  <c r="O62" i="4"/>
  <c r="P62" i="4" s="1"/>
  <c r="O61" i="4"/>
  <c r="P61" i="4" s="1"/>
  <c r="O60" i="4"/>
  <c r="P60" i="4" s="1"/>
  <c r="O59" i="4"/>
  <c r="P59" i="4" s="1"/>
  <c r="O58" i="4"/>
  <c r="P58" i="4" s="1"/>
  <c r="O57" i="4"/>
  <c r="P57" i="4" s="1"/>
  <c r="O56" i="4"/>
  <c r="P56" i="4" s="1"/>
  <c r="O55" i="4"/>
  <c r="P55" i="4" s="1"/>
  <c r="O54" i="4"/>
  <c r="P54" i="4" s="1"/>
  <c r="O53" i="4"/>
  <c r="P53" i="4" s="1"/>
  <c r="O52" i="4"/>
  <c r="P52" i="4" s="1"/>
  <c r="O51" i="4"/>
  <c r="P51" i="4" s="1"/>
  <c r="O50" i="4"/>
  <c r="P50" i="4" s="1"/>
  <c r="O49" i="4"/>
  <c r="P49" i="4" s="1"/>
  <c r="O48" i="4"/>
  <c r="P48" i="4" s="1"/>
  <c r="O47" i="4"/>
  <c r="P47" i="4" s="1"/>
  <c r="O46" i="4"/>
  <c r="P46" i="4" s="1"/>
  <c r="O45" i="4"/>
  <c r="P45" i="4" s="1"/>
  <c r="O44" i="4"/>
  <c r="P44" i="4" s="1"/>
  <c r="O43" i="4"/>
  <c r="P43" i="4" s="1"/>
  <c r="O42" i="4"/>
  <c r="P42" i="4" s="1"/>
  <c r="O41" i="4"/>
  <c r="P41" i="4" s="1"/>
  <c r="O40" i="4"/>
  <c r="P40" i="4" s="1"/>
  <c r="O39" i="4"/>
  <c r="P39" i="4" s="1"/>
  <c r="O38" i="4"/>
  <c r="P38" i="4" s="1"/>
  <c r="O37" i="4"/>
  <c r="P37" i="4" s="1"/>
  <c r="O36" i="4"/>
  <c r="P36" i="4" s="1"/>
  <c r="O35" i="4"/>
  <c r="P35" i="4" s="1"/>
  <c r="O34" i="4"/>
  <c r="P34" i="4" s="1"/>
  <c r="O33" i="4"/>
  <c r="P33" i="4" s="1"/>
  <c r="O32" i="4"/>
  <c r="P32" i="4" s="1"/>
  <c r="O31" i="4"/>
  <c r="P31" i="4" s="1"/>
  <c r="O30" i="4"/>
  <c r="P30" i="4" s="1"/>
  <c r="O29" i="4"/>
  <c r="P29" i="4" s="1"/>
  <c r="O28" i="4"/>
  <c r="P28" i="4" s="1"/>
  <c r="O27" i="4"/>
  <c r="P27" i="4" s="1"/>
  <c r="O26" i="4"/>
  <c r="P26" i="4" s="1"/>
  <c r="O25" i="4"/>
  <c r="P25" i="4" s="1"/>
  <c r="O24" i="4"/>
  <c r="P24" i="4" s="1"/>
  <c r="O23" i="4"/>
  <c r="P23" i="4" s="1"/>
  <c r="O22" i="4"/>
  <c r="P22" i="4" s="1"/>
  <c r="O21" i="4"/>
  <c r="P21" i="4" s="1"/>
  <c r="O20" i="4"/>
  <c r="P20" i="4" s="1"/>
  <c r="O19" i="4"/>
  <c r="P19" i="4" s="1"/>
  <c r="O18" i="4"/>
  <c r="P18" i="4" s="1"/>
  <c r="O17" i="4"/>
  <c r="P17" i="4" s="1"/>
  <c r="O16" i="4"/>
  <c r="P16" i="4" s="1"/>
  <c r="O15" i="4"/>
  <c r="P15" i="4" s="1"/>
  <c r="O14" i="4"/>
  <c r="P14" i="4" s="1"/>
  <c r="O13" i="4"/>
  <c r="P13" i="4" s="1"/>
  <c r="O12" i="4"/>
  <c r="P12" i="4" s="1"/>
  <c r="O11" i="4"/>
  <c r="P11" i="4" s="1"/>
  <c r="O10" i="4"/>
  <c r="P10" i="4" s="1"/>
  <c r="O9" i="4"/>
  <c r="P9" i="4" s="1"/>
  <c r="O8" i="4"/>
  <c r="P8" i="4" s="1"/>
  <c r="O7" i="4"/>
  <c r="P7" i="4" s="1"/>
  <c r="O6" i="4"/>
  <c r="P6" i="4" s="1"/>
  <c r="O3" i="4"/>
  <c r="P3" i="4" s="1"/>
  <c r="O178" i="12"/>
  <c r="P178" i="12" s="1"/>
  <c r="N178" i="12"/>
  <c r="M178" i="12"/>
  <c r="U178" i="12" s="1"/>
  <c r="T178" i="12" s="1"/>
  <c r="O177" i="12"/>
  <c r="P177" i="12" s="1"/>
  <c r="N177" i="12"/>
  <c r="M177" i="12"/>
  <c r="U177" i="12" s="1"/>
  <c r="T177" i="12" s="1"/>
  <c r="O176" i="12"/>
  <c r="P176" i="12" s="1"/>
  <c r="N176" i="12"/>
  <c r="M176" i="12"/>
  <c r="U176" i="12" s="1"/>
  <c r="T176" i="12" s="1"/>
  <c r="O175" i="12"/>
  <c r="P175" i="12" s="1"/>
  <c r="N175" i="12"/>
  <c r="M175" i="12"/>
  <c r="U175" i="12" s="1"/>
  <c r="T175" i="12" s="1"/>
  <c r="O6" i="12"/>
  <c r="P6" i="12" s="1"/>
  <c r="N6" i="12"/>
  <c r="M6" i="12"/>
  <c r="U6" i="12" s="1"/>
  <c r="T6" i="12" s="1"/>
  <c r="O119" i="12"/>
  <c r="P119" i="12" s="1"/>
  <c r="N119" i="12"/>
  <c r="M119" i="12"/>
  <c r="U119" i="12" s="1"/>
  <c r="T119" i="12" s="1"/>
  <c r="O19" i="12"/>
  <c r="P19" i="12" s="1"/>
  <c r="N19" i="12"/>
  <c r="M19" i="12"/>
  <c r="U19" i="12" s="1"/>
  <c r="T19" i="12" s="1"/>
  <c r="O115" i="12"/>
  <c r="P115" i="12" s="1"/>
  <c r="N115" i="12"/>
  <c r="M115" i="12"/>
  <c r="U115" i="12" s="1"/>
  <c r="T115" i="12" s="1"/>
  <c r="O129" i="12"/>
  <c r="P129" i="12" s="1"/>
  <c r="N129" i="12"/>
  <c r="M129" i="12"/>
  <c r="U129" i="12" s="1"/>
  <c r="T129" i="12" s="1"/>
  <c r="O80" i="12"/>
  <c r="P80" i="12" s="1"/>
  <c r="N80" i="12"/>
  <c r="M80" i="12"/>
  <c r="U80" i="12" s="1"/>
  <c r="T80" i="12" s="1"/>
  <c r="O54" i="12"/>
  <c r="P54" i="12" s="1"/>
  <c r="N54" i="12"/>
  <c r="M54" i="12"/>
  <c r="U54" i="12" s="1"/>
  <c r="T54" i="12" s="1"/>
  <c r="O5" i="12"/>
  <c r="P5" i="12" s="1"/>
  <c r="N5" i="12"/>
  <c r="M5" i="12"/>
  <c r="U5" i="12" s="1"/>
  <c r="T5" i="12" s="1"/>
  <c r="O93" i="12"/>
  <c r="P93" i="12" s="1"/>
  <c r="N93" i="12"/>
  <c r="M93" i="12"/>
  <c r="U93" i="12" s="1"/>
  <c r="T93" i="12" s="1"/>
  <c r="O168" i="12"/>
  <c r="P168" i="12" s="1"/>
  <c r="N168" i="12"/>
  <c r="M168" i="12"/>
  <c r="U168" i="12" s="1"/>
  <c r="T168" i="12" s="1"/>
  <c r="O45" i="12"/>
  <c r="P45" i="12" s="1"/>
  <c r="N45" i="12"/>
  <c r="M45" i="12"/>
  <c r="U45" i="12" s="1"/>
  <c r="T45" i="12" s="1"/>
  <c r="O76" i="12"/>
  <c r="P76" i="12" s="1"/>
  <c r="N76" i="12"/>
  <c r="M76" i="12"/>
  <c r="U76" i="12" s="1"/>
  <c r="T76" i="12" s="1"/>
  <c r="O27" i="12"/>
  <c r="P27" i="12" s="1"/>
  <c r="N27" i="12"/>
  <c r="M27" i="12"/>
  <c r="U27" i="12" s="1"/>
  <c r="T27" i="12" s="1"/>
  <c r="O109" i="12"/>
  <c r="P109" i="12" s="1"/>
  <c r="N109" i="12"/>
  <c r="M109" i="12"/>
  <c r="U109" i="12" s="1"/>
  <c r="T109" i="12" s="1"/>
  <c r="O156" i="12"/>
  <c r="P156" i="12" s="1"/>
  <c r="N156" i="12"/>
  <c r="M156" i="12"/>
  <c r="U156" i="12" s="1"/>
  <c r="T156" i="12" s="1"/>
  <c r="O121" i="12"/>
  <c r="P121" i="12" s="1"/>
  <c r="N121" i="12"/>
  <c r="M121" i="12"/>
  <c r="U121" i="12" s="1"/>
  <c r="T121" i="12" s="1"/>
  <c r="O16" i="12"/>
  <c r="P16" i="12" s="1"/>
  <c r="N16" i="12"/>
  <c r="M16" i="12"/>
  <c r="U16" i="12" s="1"/>
  <c r="T16" i="12" s="1"/>
  <c r="O172" i="12"/>
  <c r="P172" i="12" s="1"/>
  <c r="N172" i="12"/>
  <c r="M172" i="12"/>
  <c r="U172" i="12" s="1"/>
  <c r="T172" i="12" s="1"/>
  <c r="O44" i="12"/>
  <c r="P44" i="12" s="1"/>
  <c r="N44" i="12"/>
  <c r="M44" i="12"/>
  <c r="U44" i="12" s="1"/>
  <c r="T44" i="12" s="1"/>
  <c r="O123" i="12"/>
  <c r="P123" i="12" s="1"/>
  <c r="N123" i="12"/>
  <c r="M123" i="12"/>
  <c r="U123" i="12" s="1"/>
  <c r="T123" i="12" s="1"/>
  <c r="O124" i="12"/>
  <c r="P124" i="12" s="1"/>
  <c r="N124" i="12"/>
  <c r="M124" i="12"/>
  <c r="U124" i="12" s="1"/>
  <c r="T124" i="12" s="1"/>
  <c r="O83" i="12"/>
  <c r="P83" i="12" s="1"/>
  <c r="N83" i="12"/>
  <c r="M83" i="12"/>
  <c r="U83" i="12" s="1"/>
  <c r="T83" i="12" s="1"/>
  <c r="O94" i="12"/>
  <c r="P94" i="12" s="1"/>
  <c r="N94" i="12"/>
  <c r="M94" i="12"/>
  <c r="U94" i="12" s="1"/>
  <c r="T94" i="12" s="1"/>
  <c r="O21" i="12"/>
  <c r="P21" i="12" s="1"/>
  <c r="N21" i="12"/>
  <c r="M21" i="12"/>
  <c r="U21" i="12" s="1"/>
  <c r="T21" i="12" s="1"/>
  <c r="O149" i="12"/>
  <c r="P149" i="12" s="1"/>
  <c r="N149" i="12"/>
  <c r="M149" i="12"/>
  <c r="U149" i="12" s="1"/>
  <c r="T149" i="12" s="1"/>
  <c r="O4" i="12"/>
  <c r="P4" i="12" s="1"/>
  <c r="N4" i="12"/>
  <c r="M4" i="12"/>
  <c r="U4" i="12" s="1"/>
  <c r="T4" i="12" s="1"/>
  <c r="O3" i="12"/>
  <c r="P3" i="12" s="1"/>
  <c r="N3" i="12"/>
  <c r="M3" i="12"/>
  <c r="U3" i="12" s="1"/>
  <c r="T3" i="12" s="1"/>
  <c r="O138" i="12"/>
  <c r="P138" i="12" s="1"/>
  <c r="N138" i="12"/>
  <c r="M138" i="12"/>
  <c r="U138" i="12" s="1"/>
  <c r="T138" i="12" s="1"/>
  <c r="O137" i="12"/>
  <c r="P137" i="12" s="1"/>
  <c r="N137" i="12"/>
  <c r="M137" i="12"/>
  <c r="U137" i="12" s="1"/>
  <c r="T137" i="12" s="1"/>
  <c r="O65" i="12"/>
  <c r="P65" i="12" s="1"/>
  <c r="N65" i="12"/>
  <c r="M65" i="12"/>
  <c r="U65" i="12" s="1"/>
  <c r="T65" i="12" s="1"/>
  <c r="O32" i="12"/>
  <c r="P32" i="12" s="1"/>
  <c r="N32" i="12"/>
  <c r="M32" i="12"/>
  <c r="U32" i="12" s="1"/>
  <c r="T32" i="12" s="1"/>
  <c r="O102" i="12"/>
  <c r="P102" i="12" s="1"/>
  <c r="N102" i="12"/>
  <c r="M102" i="12"/>
  <c r="U102" i="12" s="1"/>
  <c r="T102" i="12" s="1"/>
  <c r="O7" i="12"/>
  <c r="P7" i="12" s="1"/>
  <c r="N7" i="12"/>
  <c r="M7" i="12"/>
  <c r="U7" i="12" s="1"/>
  <c r="T7" i="12" s="1"/>
  <c r="O15" i="12"/>
  <c r="P15" i="12" s="1"/>
  <c r="N15" i="12"/>
  <c r="M15" i="12"/>
  <c r="U15" i="12" s="1"/>
  <c r="T15" i="12" s="1"/>
  <c r="O112" i="12"/>
  <c r="P112" i="12" s="1"/>
  <c r="N112" i="12"/>
  <c r="M112" i="12"/>
  <c r="U112" i="12" s="1"/>
  <c r="T112" i="12" s="1"/>
  <c r="O77" i="12"/>
  <c r="P77" i="12" s="1"/>
  <c r="N77" i="12"/>
  <c r="M77" i="12"/>
  <c r="U77" i="12" s="1"/>
  <c r="T77" i="12" s="1"/>
  <c r="O38" i="12"/>
  <c r="P38" i="12" s="1"/>
  <c r="N38" i="12"/>
  <c r="M38" i="12"/>
  <c r="U38" i="12" s="1"/>
  <c r="T38" i="12" s="1"/>
  <c r="O43" i="12"/>
  <c r="P43" i="12" s="1"/>
  <c r="N43" i="12"/>
  <c r="M43" i="12"/>
  <c r="U43" i="12" s="1"/>
  <c r="T43" i="12" s="1"/>
  <c r="O67" i="12"/>
  <c r="P67" i="12" s="1"/>
  <c r="N67" i="12"/>
  <c r="M67" i="12"/>
  <c r="U67" i="12" s="1"/>
  <c r="T67" i="12" s="1"/>
  <c r="O89" i="12"/>
  <c r="P89" i="12" s="1"/>
  <c r="N89" i="12"/>
  <c r="M89" i="12"/>
  <c r="U89" i="12" s="1"/>
  <c r="T89" i="12" s="1"/>
  <c r="O62" i="12"/>
  <c r="P62" i="12" s="1"/>
  <c r="N62" i="12"/>
  <c r="M62" i="12"/>
  <c r="U62" i="12" s="1"/>
  <c r="T62" i="12" s="1"/>
  <c r="O61" i="12"/>
  <c r="P61" i="12" s="1"/>
  <c r="N61" i="12"/>
  <c r="M61" i="12"/>
  <c r="U61" i="12" s="1"/>
  <c r="T61" i="12" s="1"/>
  <c r="O151" i="12"/>
  <c r="P151" i="12" s="1"/>
  <c r="N151" i="12"/>
  <c r="M151" i="12"/>
  <c r="U151" i="12" s="1"/>
  <c r="T151" i="12" s="1"/>
  <c r="O34" i="12"/>
  <c r="P34" i="12" s="1"/>
  <c r="N34" i="12"/>
  <c r="M34" i="12"/>
  <c r="U34" i="12" s="1"/>
  <c r="T34" i="12" s="1"/>
  <c r="O25" i="12"/>
  <c r="P25" i="12" s="1"/>
  <c r="N25" i="12"/>
  <c r="M25" i="12"/>
  <c r="U25" i="12" s="1"/>
  <c r="T25" i="12" s="1"/>
  <c r="O142" i="12"/>
  <c r="P142" i="12" s="1"/>
  <c r="N142" i="12"/>
  <c r="M142" i="12"/>
  <c r="U142" i="12" s="1"/>
  <c r="T142" i="12" s="1"/>
  <c r="O79" i="12"/>
  <c r="P79" i="12" s="1"/>
  <c r="N79" i="12"/>
  <c r="M79" i="12"/>
  <c r="U79" i="12" s="1"/>
  <c r="T79" i="12" s="1"/>
  <c r="O126" i="12"/>
  <c r="P126" i="12" s="1"/>
  <c r="N126" i="12"/>
  <c r="M126" i="12"/>
  <c r="U126" i="12" s="1"/>
  <c r="T126" i="12" s="1"/>
  <c r="O143" i="12"/>
  <c r="P143" i="12" s="1"/>
  <c r="N143" i="12"/>
  <c r="M143" i="12"/>
  <c r="U143" i="12" s="1"/>
  <c r="T143" i="12" s="1"/>
  <c r="O71" i="12"/>
  <c r="P71" i="12" s="1"/>
  <c r="N71" i="12"/>
  <c r="M71" i="12"/>
  <c r="U71" i="12" s="1"/>
  <c r="T71" i="12" s="1"/>
  <c r="O161" i="12"/>
  <c r="P161" i="12" s="1"/>
  <c r="N161" i="12"/>
  <c r="M161" i="12"/>
  <c r="U161" i="12" s="1"/>
  <c r="T161" i="12" s="1"/>
  <c r="O86" i="12"/>
  <c r="P86" i="12" s="1"/>
  <c r="N86" i="12"/>
  <c r="M86" i="12"/>
  <c r="U86" i="12" s="1"/>
  <c r="T86" i="12" s="1"/>
  <c r="O56" i="12"/>
  <c r="P56" i="12" s="1"/>
  <c r="N56" i="12"/>
  <c r="M56" i="12"/>
  <c r="U56" i="12" s="1"/>
  <c r="T56" i="12" s="1"/>
  <c r="O78" i="12"/>
  <c r="P78" i="12" s="1"/>
  <c r="N78" i="12"/>
  <c r="M78" i="12"/>
  <c r="U78" i="12" s="1"/>
  <c r="T78" i="12" s="1"/>
  <c r="O166" i="12"/>
  <c r="P166" i="12" s="1"/>
  <c r="N166" i="12"/>
  <c r="M166" i="12"/>
  <c r="U166" i="12" s="1"/>
  <c r="T166" i="12" s="1"/>
  <c r="O165" i="12"/>
  <c r="P165" i="12" s="1"/>
  <c r="N165" i="12"/>
  <c r="M165" i="12"/>
  <c r="U165" i="12" s="1"/>
  <c r="T165" i="12" s="1"/>
  <c r="O164" i="12"/>
  <c r="P164" i="12" s="1"/>
  <c r="N164" i="12"/>
  <c r="M164" i="12"/>
  <c r="U164" i="12" s="1"/>
  <c r="T164" i="12" s="1"/>
  <c r="O133" i="12"/>
  <c r="P133" i="12" s="1"/>
  <c r="N133" i="12"/>
  <c r="M133" i="12"/>
  <c r="U133" i="12" s="1"/>
  <c r="T133" i="12" s="1"/>
  <c r="O66" i="12"/>
  <c r="P66" i="12" s="1"/>
  <c r="N66" i="12"/>
  <c r="M66" i="12"/>
  <c r="U66" i="12" s="1"/>
  <c r="T66" i="12" s="1"/>
  <c r="O106" i="12"/>
  <c r="P106" i="12" s="1"/>
  <c r="N106" i="12"/>
  <c r="M106" i="12"/>
  <c r="U106" i="12" s="1"/>
  <c r="T106" i="12" s="1"/>
  <c r="O171" i="12"/>
  <c r="P171" i="12" s="1"/>
  <c r="N171" i="12"/>
  <c r="M171" i="12"/>
  <c r="U171" i="12" s="1"/>
  <c r="T171" i="12" s="1"/>
  <c r="O31" i="12"/>
  <c r="P31" i="12" s="1"/>
  <c r="N31" i="12"/>
  <c r="M31" i="12"/>
  <c r="U31" i="12" s="1"/>
  <c r="T31" i="12" s="1"/>
  <c r="O110" i="12"/>
  <c r="P110" i="12" s="1"/>
  <c r="N110" i="12"/>
  <c r="M110" i="12"/>
  <c r="U110" i="12" s="1"/>
  <c r="T110" i="12" s="1"/>
  <c r="O13" i="12"/>
  <c r="P13" i="12" s="1"/>
  <c r="N13" i="12"/>
  <c r="M13" i="12"/>
  <c r="U13" i="12" s="1"/>
  <c r="T13" i="12" s="1"/>
  <c r="O145" i="12"/>
  <c r="P145" i="12" s="1"/>
  <c r="N145" i="12"/>
  <c r="M145" i="12"/>
  <c r="U145" i="12" s="1"/>
  <c r="T145" i="12" s="1"/>
  <c r="O23" i="12"/>
  <c r="P23" i="12" s="1"/>
  <c r="N23" i="12"/>
  <c r="M23" i="12"/>
  <c r="U23" i="12" s="1"/>
  <c r="T23" i="12" s="1"/>
  <c r="O60" i="12"/>
  <c r="P60" i="12" s="1"/>
  <c r="N60" i="12"/>
  <c r="M60" i="12"/>
  <c r="U60" i="12" s="1"/>
  <c r="T60" i="12" s="1"/>
  <c r="O103" i="12"/>
  <c r="P103" i="12" s="1"/>
  <c r="N103" i="12"/>
  <c r="M103" i="12"/>
  <c r="U103" i="12" s="1"/>
  <c r="T103" i="12" s="1"/>
  <c r="O146" i="12"/>
  <c r="P146" i="12" s="1"/>
  <c r="N146" i="12"/>
  <c r="M146" i="12"/>
  <c r="U146" i="12" s="1"/>
  <c r="T146" i="12" s="1"/>
  <c r="O98" i="12"/>
  <c r="P98" i="12" s="1"/>
  <c r="N98" i="12"/>
  <c r="M98" i="12"/>
  <c r="U98" i="12" s="1"/>
  <c r="T98" i="12" s="1"/>
  <c r="O127" i="12"/>
  <c r="P127" i="12" s="1"/>
  <c r="N127" i="12"/>
  <c r="M127" i="12"/>
  <c r="U127" i="12" s="1"/>
  <c r="T127" i="12" s="1"/>
  <c r="O35" i="12"/>
  <c r="P35" i="12" s="1"/>
  <c r="N35" i="12"/>
  <c r="M35" i="12"/>
  <c r="U35" i="12" s="1"/>
  <c r="T35" i="12" s="1"/>
  <c r="O114" i="12"/>
  <c r="P114" i="12" s="1"/>
  <c r="N114" i="12"/>
  <c r="M114" i="12"/>
  <c r="U114" i="12" s="1"/>
  <c r="T114" i="12" s="1"/>
  <c r="O116" i="12"/>
  <c r="P116" i="12" s="1"/>
  <c r="N116" i="12"/>
  <c r="M116" i="12"/>
  <c r="U116" i="12" s="1"/>
  <c r="T116" i="12" s="1"/>
  <c r="O72" i="12"/>
  <c r="P72" i="12" s="1"/>
  <c r="N72" i="12"/>
  <c r="M72" i="12"/>
  <c r="U72" i="12" s="1"/>
  <c r="T72" i="12" s="1"/>
  <c r="O152" i="12"/>
  <c r="P152" i="12" s="1"/>
  <c r="N152" i="12"/>
  <c r="M152" i="12"/>
  <c r="U152" i="12" s="1"/>
  <c r="T152" i="12" s="1"/>
  <c r="O139" i="12"/>
  <c r="P139" i="12" s="1"/>
  <c r="N139" i="12"/>
  <c r="M139" i="12"/>
  <c r="U139" i="12" s="1"/>
  <c r="T139" i="12" s="1"/>
  <c r="O70" i="12"/>
  <c r="P70" i="12" s="1"/>
  <c r="N70" i="12"/>
  <c r="M70" i="12"/>
  <c r="U70" i="12" s="1"/>
  <c r="T70" i="12" s="1"/>
  <c r="O170" i="12"/>
  <c r="P170" i="12" s="1"/>
  <c r="N170" i="12"/>
  <c r="M170" i="12"/>
  <c r="U170" i="12" s="1"/>
  <c r="T170" i="12" s="1"/>
  <c r="O24" i="12"/>
  <c r="P24" i="12" s="1"/>
  <c r="N24" i="12"/>
  <c r="M24" i="12"/>
  <c r="U24" i="12" s="1"/>
  <c r="T24" i="12" s="1"/>
  <c r="O120" i="12"/>
  <c r="P120" i="12" s="1"/>
  <c r="N120" i="12"/>
  <c r="M120" i="12"/>
  <c r="U120" i="12" s="1"/>
  <c r="T120" i="12" s="1"/>
  <c r="O88" i="12"/>
  <c r="P88" i="12" s="1"/>
  <c r="N88" i="12"/>
  <c r="M88" i="12"/>
  <c r="U88" i="12" s="1"/>
  <c r="T88" i="12" s="1"/>
  <c r="O163" i="12"/>
  <c r="P163" i="12" s="1"/>
  <c r="N163" i="12"/>
  <c r="M163" i="12"/>
  <c r="U163" i="12" s="1"/>
  <c r="T163" i="12" s="1"/>
  <c r="O122" i="12"/>
  <c r="P122" i="12" s="1"/>
  <c r="N122" i="12"/>
  <c r="M122" i="12"/>
  <c r="U122" i="12" s="1"/>
  <c r="T122" i="12" s="1"/>
  <c r="O111" i="12"/>
  <c r="P111" i="12" s="1"/>
  <c r="N111" i="12"/>
  <c r="M111" i="12"/>
  <c r="U111" i="12" s="1"/>
  <c r="T111" i="12" s="1"/>
  <c r="O135" i="12"/>
  <c r="P135" i="12" s="1"/>
  <c r="N135" i="12"/>
  <c r="M135" i="12"/>
  <c r="U135" i="12" s="1"/>
  <c r="T135" i="12" s="1"/>
  <c r="O18" i="12"/>
  <c r="P18" i="12" s="1"/>
  <c r="N18" i="12"/>
  <c r="M18" i="12"/>
  <c r="U18" i="12" s="1"/>
  <c r="T18" i="12" s="1"/>
  <c r="O154" i="12"/>
  <c r="P154" i="12" s="1"/>
  <c r="N154" i="12"/>
  <c r="M154" i="12"/>
  <c r="U154" i="12" s="1"/>
  <c r="T154" i="12" s="1"/>
  <c r="O39" i="12"/>
  <c r="P39" i="12" s="1"/>
  <c r="N39" i="12"/>
  <c r="M39" i="12"/>
  <c r="U39" i="12" s="1"/>
  <c r="T39" i="12" s="1"/>
  <c r="O140" i="12"/>
  <c r="P140" i="12" s="1"/>
  <c r="N140" i="12"/>
  <c r="M140" i="12"/>
  <c r="U140" i="12" s="1"/>
  <c r="T140" i="12" s="1"/>
  <c r="O155" i="12"/>
  <c r="P155" i="12" s="1"/>
  <c r="N155" i="12"/>
  <c r="M155" i="12"/>
  <c r="U155" i="12" s="1"/>
  <c r="T155" i="12" s="1"/>
  <c r="O167" i="12"/>
  <c r="P167" i="12" s="1"/>
  <c r="N167" i="12"/>
  <c r="M167" i="12"/>
  <c r="U167" i="12" s="1"/>
  <c r="T167" i="12" s="1"/>
  <c r="O107" i="12"/>
  <c r="P107" i="12" s="1"/>
  <c r="N107" i="12"/>
  <c r="M107" i="12"/>
  <c r="U107" i="12" s="1"/>
  <c r="T107" i="12" s="1"/>
  <c r="O117" i="12"/>
  <c r="P117" i="12" s="1"/>
  <c r="N117" i="12"/>
  <c r="M117" i="12"/>
  <c r="U117" i="12" s="1"/>
  <c r="T117" i="12" s="1"/>
  <c r="O174" i="12"/>
  <c r="P174" i="12" s="1"/>
  <c r="N174" i="12"/>
  <c r="M174" i="12"/>
  <c r="U174" i="12" s="1"/>
  <c r="T174" i="12" s="1"/>
  <c r="O131" i="12"/>
  <c r="P131" i="12" s="1"/>
  <c r="N131" i="12"/>
  <c r="M131" i="12"/>
  <c r="U131" i="12" s="1"/>
  <c r="T131" i="12" s="1"/>
  <c r="O73" i="12"/>
  <c r="P73" i="12" s="1"/>
  <c r="N73" i="12"/>
  <c r="M73" i="12"/>
  <c r="U73" i="12" s="1"/>
  <c r="T73" i="12" s="1"/>
  <c r="O40" i="12"/>
  <c r="P40" i="12" s="1"/>
  <c r="N40" i="12"/>
  <c r="M40" i="12"/>
  <c r="U40" i="12" s="1"/>
  <c r="T40" i="12" s="1"/>
  <c r="O28" i="12"/>
  <c r="P28" i="12" s="1"/>
  <c r="N28" i="12"/>
  <c r="M28" i="12"/>
  <c r="U28" i="12" s="1"/>
  <c r="T28" i="12" s="1"/>
  <c r="O97" i="12"/>
  <c r="P97" i="12" s="1"/>
  <c r="N97" i="12"/>
  <c r="M97" i="12"/>
  <c r="U97" i="12" s="1"/>
  <c r="T97" i="12" s="1"/>
  <c r="O90" i="12"/>
  <c r="P90" i="12" s="1"/>
  <c r="N90" i="12"/>
  <c r="M90" i="12"/>
  <c r="U90" i="12" s="1"/>
  <c r="T90" i="12" s="1"/>
  <c r="O49" i="12"/>
  <c r="P49" i="12" s="1"/>
  <c r="N49" i="12"/>
  <c r="M49" i="12"/>
  <c r="U49" i="12" s="1"/>
  <c r="T49" i="12" s="1"/>
  <c r="O128" i="12"/>
  <c r="P128" i="12" s="1"/>
  <c r="N128" i="12"/>
  <c r="M128" i="12"/>
  <c r="U128" i="12" s="1"/>
  <c r="T128" i="12" s="1"/>
  <c r="O29" i="12"/>
  <c r="P29" i="12" s="1"/>
  <c r="N29" i="12"/>
  <c r="M29" i="12"/>
  <c r="U29" i="12" s="1"/>
  <c r="T29" i="12" s="1"/>
  <c r="O141" i="12"/>
  <c r="P141" i="12" s="1"/>
  <c r="N141" i="12"/>
  <c r="M141" i="12"/>
  <c r="U141" i="12" s="1"/>
  <c r="T141" i="12" s="1"/>
  <c r="O9" i="12"/>
  <c r="P9" i="12" s="1"/>
  <c r="N9" i="12"/>
  <c r="M9" i="12"/>
  <c r="U9" i="12" s="1"/>
  <c r="T9" i="12" s="1"/>
  <c r="O8" i="12"/>
  <c r="P8" i="12" s="1"/>
  <c r="N8" i="12"/>
  <c r="M8" i="12"/>
  <c r="U8" i="12" s="1"/>
  <c r="T8" i="12" s="1"/>
  <c r="O74" i="12"/>
  <c r="P74" i="12" s="1"/>
  <c r="N74" i="12"/>
  <c r="M74" i="12"/>
  <c r="U74" i="12" s="1"/>
  <c r="T74" i="12" s="1"/>
  <c r="O113" i="12"/>
  <c r="P113" i="12" s="1"/>
  <c r="N113" i="12"/>
  <c r="M113" i="12"/>
  <c r="U113" i="12" s="1"/>
  <c r="T113" i="12" s="1"/>
  <c r="O20" i="12"/>
  <c r="P20" i="12" s="1"/>
  <c r="N20" i="12"/>
  <c r="M20" i="12"/>
  <c r="U20" i="12" s="1"/>
  <c r="T20" i="12" s="1"/>
  <c r="O12" i="12"/>
  <c r="P12" i="12" s="1"/>
  <c r="N12" i="12"/>
  <c r="M12" i="12"/>
  <c r="U12" i="12" s="1"/>
  <c r="T12" i="12" s="1"/>
  <c r="O64" i="12"/>
  <c r="P64" i="12" s="1"/>
  <c r="N64" i="12"/>
  <c r="M64" i="12"/>
  <c r="U64" i="12" s="1"/>
  <c r="T64" i="12" s="1"/>
  <c r="O69" i="12"/>
  <c r="P69" i="12" s="1"/>
  <c r="N69" i="12"/>
  <c r="M69" i="12"/>
  <c r="U69" i="12" s="1"/>
  <c r="T69" i="12" s="1"/>
  <c r="O169" i="12"/>
  <c r="P169" i="12" s="1"/>
  <c r="N169" i="12"/>
  <c r="M169" i="12"/>
  <c r="U169" i="12" s="1"/>
  <c r="T169" i="12" s="1"/>
  <c r="O59" i="12"/>
  <c r="P59" i="12" s="1"/>
  <c r="N59" i="12"/>
  <c r="M59" i="12"/>
  <c r="U59" i="12" s="1"/>
  <c r="T59" i="12" s="1"/>
  <c r="O2" i="12"/>
  <c r="P2" i="12" s="1"/>
  <c r="N2" i="12"/>
  <c r="M2" i="12"/>
  <c r="U2" i="12" s="1"/>
  <c r="T2" i="12" s="1"/>
  <c r="O158" i="12"/>
  <c r="P158" i="12" s="1"/>
  <c r="N158" i="12"/>
  <c r="M158" i="12"/>
  <c r="U158" i="12" s="1"/>
  <c r="T158" i="12" s="1"/>
  <c r="O68" i="12"/>
  <c r="P68" i="12" s="1"/>
  <c r="N68" i="12"/>
  <c r="M68" i="12"/>
  <c r="U68" i="12" s="1"/>
  <c r="T68" i="12" s="1"/>
  <c r="O160" i="12"/>
  <c r="P160" i="12" s="1"/>
  <c r="N160" i="12"/>
  <c r="M160" i="12"/>
  <c r="U160" i="12" s="1"/>
  <c r="T160" i="12" s="1"/>
  <c r="O10" i="12"/>
  <c r="P10" i="12" s="1"/>
  <c r="N10" i="12"/>
  <c r="M10" i="12"/>
  <c r="U10" i="12" s="1"/>
  <c r="T10" i="12" s="1"/>
  <c r="O81" i="12"/>
  <c r="P81" i="12" s="1"/>
  <c r="N81" i="12"/>
  <c r="M81" i="12"/>
  <c r="U81" i="12" s="1"/>
  <c r="T81" i="12" s="1"/>
  <c r="O41" i="12"/>
  <c r="P41" i="12" s="1"/>
  <c r="N41" i="12"/>
  <c r="M41" i="12"/>
  <c r="U41" i="12" s="1"/>
  <c r="T41" i="12" s="1"/>
  <c r="O58" i="12"/>
  <c r="P58" i="12" s="1"/>
  <c r="N58" i="12"/>
  <c r="M58" i="12"/>
  <c r="U58" i="12" s="1"/>
  <c r="T58" i="12" s="1"/>
  <c r="O99" i="12"/>
  <c r="P99" i="12" s="1"/>
  <c r="N99" i="12"/>
  <c r="M99" i="12"/>
  <c r="U99" i="12" s="1"/>
  <c r="T99" i="12" s="1"/>
  <c r="U46" i="12"/>
  <c r="T46" i="12" s="1"/>
  <c r="U101" i="12"/>
  <c r="T101" i="12" s="1"/>
  <c r="U105" i="12"/>
  <c r="T105" i="12" s="1"/>
  <c r="U159" i="12"/>
  <c r="T159" i="12" s="1"/>
  <c r="U50" i="12"/>
  <c r="T50" i="12" s="1"/>
  <c r="U134" i="12"/>
  <c r="T134" i="12" s="1"/>
  <c r="U36" i="12"/>
  <c r="T36" i="12" s="1"/>
  <c r="U173" i="12"/>
  <c r="T173" i="12" s="1"/>
  <c r="U11" i="12"/>
  <c r="T11" i="12" s="1"/>
  <c r="U57" i="12"/>
  <c r="T57" i="12" s="1"/>
  <c r="U26" i="12"/>
  <c r="T26" i="12" s="1"/>
  <c r="U75" i="12"/>
  <c r="T75" i="12" s="1"/>
  <c r="U148" i="12"/>
  <c r="T148" i="12" s="1"/>
  <c r="U157" i="12"/>
  <c r="T157" i="12" s="1"/>
  <c r="U63" i="12"/>
  <c r="T63" i="12" s="1"/>
  <c r="U100" i="12"/>
  <c r="T100" i="12" s="1"/>
  <c r="U162" i="12"/>
  <c r="T162" i="12" s="1"/>
  <c r="U51" i="12"/>
  <c r="T51" i="12" s="1"/>
  <c r="U17" i="12"/>
  <c r="T17" i="12" s="1"/>
  <c r="U92" i="12"/>
  <c r="T92" i="12" s="1"/>
  <c r="U33" i="12"/>
  <c r="T33" i="12" s="1"/>
  <c r="U91" i="12"/>
  <c r="T91" i="12" s="1"/>
  <c r="U150" i="12"/>
  <c r="T150" i="12" s="1"/>
  <c r="U118" i="12"/>
  <c r="T118" i="12" s="1"/>
  <c r="U136" i="12"/>
  <c r="T136" i="12" s="1"/>
  <c r="U55" i="12"/>
  <c r="T55" i="12" s="1"/>
  <c r="U14" i="12"/>
  <c r="T14" i="12" s="1"/>
  <c r="U48" i="12"/>
  <c r="T48" i="12" s="1"/>
  <c r="U53" i="12"/>
  <c r="T53" i="12" s="1"/>
  <c r="U52" i="12"/>
  <c r="T52" i="12" s="1"/>
  <c r="U125" i="12"/>
  <c r="T125" i="12" s="1"/>
  <c r="U132" i="12"/>
  <c r="T132" i="12" s="1"/>
  <c r="U84" i="12"/>
  <c r="T84" i="12" s="1"/>
  <c r="U96" i="12"/>
  <c r="T96" i="12" s="1"/>
  <c r="P95" i="12"/>
  <c r="O108" i="12"/>
  <c r="P108" i="12" s="1"/>
  <c r="N108" i="12"/>
  <c r="M108" i="12"/>
  <c r="U108" i="12" s="1"/>
  <c r="T108" i="12" s="1"/>
  <c r="O30" i="12"/>
  <c r="P30" i="12" s="1"/>
  <c r="N30" i="12"/>
  <c r="M30" i="12"/>
  <c r="U30" i="12" s="1"/>
  <c r="T30" i="12" s="1"/>
  <c r="O22" i="12"/>
  <c r="P22" i="12" s="1"/>
  <c r="N22" i="12"/>
  <c r="M22" i="12"/>
  <c r="U22" i="12" s="1"/>
  <c r="T22" i="12" s="1"/>
  <c r="O42" i="12"/>
  <c r="P42" i="12" s="1"/>
  <c r="N42" i="12"/>
  <c r="M42" i="12"/>
  <c r="U42" i="12" s="1"/>
  <c r="T42" i="12" s="1"/>
  <c r="O87" i="12"/>
  <c r="P87" i="12" s="1"/>
  <c r="N87" i="12"/>
  <c r="M87" i="12"/>
  <c r="U87" i="12" s="1"/>
  <c r="T87" i="12" s="1"/>
  <c r="O104" i="12"/>
  <c r="P104" i="12" s="1"/>
  <c r="N104" i="12"/>
  <c r="M104" i="12"/>
  <c r="U104" i="12" s="1"/>
  <c r="T104" i="12" s="1"/>
  <c r="O47" i="12"/>
  <c r="P47" i="12" s="1"/>
  <c r="N47" i="12"/>
  <c r="M47" i="12"/>
  <c r="U47" i="12" s="1"/>
  <c r="T47" i="12" s="1"/>
  <c r="O37" i="12"/>
  <c r="P37" i="12" s="1"/>
  <c r="N37" i="12"/>
  <c r="M37" i="12"/>
  <c r="U37" i="12" s="1"/>
  <c r="T37" i="12" s="1"/>
  <c r="O153" i="12"/>
  <c r="P153" i="12" s="1"/>
  <c r="N153" i="12"/>
  <c r="M153" i="12"/>
  <c r="U153" i="12" s="1"/>
  <c r="T153" i="12" s="1"/>
  <c r="O147" i="12"/>
  <c r="P147" i="12" s="1"/>
  <c r="N147" i="12"/>
  <c r="M147" i="12"/>
  <c r="U147" i="12" s="1"/>
  <c r="T147" i="12" s="1"/>
  <c r="O85" i="12"/>
  <c r="P85" i="12" s="1"/>
  <c r="N85" i="12"/>
  <c r="M85" i="12"/>
  <c r="U85" i="12" s="1"/>
  <c r="T85" i="12" s="1"/>
  <c r="O82" i="12"/>
  <c r="P82" i="12" s="1"/>
  <c r="N82" i="12"/>
  <c r="M82" i="12"/>
  <c r="U82" i="12" s="1"/>
  <c r="T82" i="12" s="1"/>
  <c r="O144" i="12"/>
  <c r="P144" i="12" s="1"/>
  <c r="N144" i="12"/>
  <c r="M144" i="12"/>
  <c r="U144" i="12" s="1"/>
  <c r="T144" i="12" s="1"/>
  <c r="O130" i="12"/>
  <c r="P130" i="12" s="1"/>
  <c r="N130" i="12"/>
  <c r="M130" i="12"/>
  <c r="U130" i="12" s="1"/>
  <c r="T130" i="12" s="1"/>
  <c r="O4" i="4" l="1"/>
  <c r="P4" i="4" s="1"/>
  <c r="K5" i="4"/>
  <c r="T204" i="4"/>
  <c r="T206" i="4"/>
  <c r="T207" i="4"/>
  <c r="T208" i="4"/>
  <c r="T216" i="4"/>
  <c r="T218" i="4"/>
  <c r="T219" i="4"/>
  <c r="T220" i="4"/>
  <c r="T228" i="4"/>
  <c r="T230" i="4"/>
  <c r="T231" i="4"/>
  <c r="T232" i="4"/>
  <c r="T242" i="4"/>
  <c r="T243" i="4"/>
  <c r="T244" i="4"/>
  <c r="T252" i="4"/>
  <c r="T254" i="4"/>
  <c r="T255" i="4"/>
  <c r="T256" i="4"/>
  <c r="T264" i="4"/>
  <c r="T266" i="4"/>
  <c r="T267" i="4"/>
  <c r="T268" i="4"/>
  <c r="T276" i="4"/>
  <c r="T278" i="4"/>
  <c r="T279" i="4"/>
  <c r="T280" i="4"/>
  <c r="T290" i="4"/>
  <c r="T291" i="4"/>
  <c r="T292" i="4"/>
  <c r="T300" i="4"/>
  <c r="T302" i="4"/>
  <c r="T303" i="4"/>
  <c r="T304" i="4"/>
  <c r="T312" i="4"/>
  <c r="T314" i="4"/>
  <c r="T315" i="4"/>
  <c r="T316" i="4"/>
  <c r="T324" i="4"/>
  <c r="T326" i="4"/>
  <c r="T327" i="4"/>
  <c r="T328" i="4"/>
  <c r="T336" i="4"/>
  <c r="T338" i="4"/>
  <c r="T339" i="4"/>
  <c r="T340" i="4"/>
  <c r="T348" i="4"/>
  <c r="T350" i="4"/>
  <c r="T352" i="4"/>
  <c r="T360" i="4"/>
  <c r="T362" i="4"/>
  <c r="T363" i="4"/>
  <c r="T364" i="4"/>
  <c r="T372" i="4"/>
  <c r="T374" i="4"/>
  <c r="T375" i="4"/>
  <c r="T376" i="4"/>
  <c r="T384" i="4"/>
  <c r="T386" i="4"/>
  <c r="T387" i="4"/>
  <c r="T388" i="4"/>
  <c r="T396" i="4"/>
  <c r="T398" i="4"/>
  <c r="T399" i="4"/>
  <c r="T400" i="4"/>
  <c r="T408" i="4"/>
  <c r="T410" i="4"/>
  <c r="T411" i="4"/>
  <c r="T412" i="4"/>
  <c r="T420" i="4"/>
  <c r="T422" i="4"/>
  <c r="T424" i="4"/>
  <c r="T432" i="4"/>
  <c r="T434" i="4"/>
  <c r="T435" i="4"/>
  <c r="T436" i="4"/>
  <c r="T444" i="4"/>
  <c r="T446" i="4"/>
  <c r="T447" i="4"/>
  <c r="T448" i="4"/>
  <c r="T456" i="4"/>
  <c r="T458" i="4"/>
  <c r="T459" i="4"/>
  <c r="T460" i="4"/>
  <c r="T468" i="4"/>
  <c r="T470" i="4"/>
  <c r="T471" i="4"/>
  <c r="T472" i="4"/>
  <c r="T480" i="4"/>
  <c r="T482" i="4"/>
  <c r="T483" i="4"/>
  <c r="T484" i="4"/>
  <c r="T492" i="4"/>
  <c r="T494" i="4"/>
  <c r="T496" i="4"/>
  <c r="N499" i="4"/>
  <c r="P499" i="4"/>
  <c r="T197" i="4"/>
  <c r="T198" i="4"/>
  <c r="T199" i="4"/>
  <c r="T200" i="4"/>
  <c r="T201" i="4"/>
  <c r="T202" i="4"/>
  <c r="T203" i="4"/>
  <c r="T205" i="4"/>
  <c r="T209" i="4"/>
  <c r="T210" i="4"/>
  <c r="T211" i="4"/>
  <c r="T212" i="4"/>
  <c r="T213" i="4"/>
  <c r="T214" i="4"/>
  <c r="T215" i="4"/>
  <c r="T217" i="4"/>
  <c r="T221" i="4"/>
  <c r="T222" i="4"/>
  <c r="T223" i="4"/>
  <c r="T224" i="4"/>
  <c r="T225" i="4"/>
  <c r="T226" i="4"/>
  <c r="T227" i="4"/>
  <c r="T229" i="4"/>
  <c r="T233" i="4"/>
  <c r="T234" i="4"/>
  <c r="T235" i="4"/>
  <c r="T236" i="4"/>
  <c r="T237" i="4"/>
  <c r="T238" i="4"/>
  <c r="T239" i="4"/>
  <c r="T240" i="4"/>
  <c r="T241" i="4"/>
  <c r="T245" i="4"/>
  <c r="T246" i="4"/>
  <c r="T247" i="4"/>
  <c r="T248" i="4"/>
  <c r="T249" i="4"/>
  <c r="T250" i="4"/>
  <c r="T251" i="4"/>
  <c r="T253" i="4"/>
  <c r="T257" i="4"/>
  <c r="T258" i="4"/>
  <c r="T259" i="4"/>
  <c r="T260" i="4"/>
  <c r="T261" i="4"/>
  <c r="T262" i="4"/>
  <c r="T263" i="4"/>
  <c r="T265" i="4"/>
  <c r="T269" i="4"/>
  <c r="T270" i="4"/>
  <c r="T271" i="4"/>
  <c r="T272" i="4"/>
  <c r="T273" i="4"/>
  <c r="T274" i="4"/>
  <c r="T275" i="4"/>
  <c r="T277" i="4"/>
  <c r="T281" i="4"/>
  <c r="T282" i="4"/>
  <c r="T283" i="4"/>
  <c r="T284" i="4"/>
  <c r="T285" i="4"/>
  <c r="T286" i="4"/>
  <c r="T287" i="4"/>
  <c r="T288" i="4"/>
  <c r="T289" i="4"/>
  <c r="T293" i="4"/>
  <c r="T294" i="4"/>
  <c r="T295" i="4"/>
  <c r="T296" i="4"/>
  <c r="T297" i="4"/>
  <c r="T298" i="4"/>
  <c r="T299" i="4"/>
  <c r="T301" i="4"/>
  <c r="T305" i="4"/>
  <c r="T306" i="4"/>
  <c r="T307" i="4"/>
  <c r="T308" i="4"/>
  <c r="T309" i="4"/>
  <c r="T310" i="4"/>
  <c r="T311" i="4"/>
  <c r="T313" i="4"/>
  <c r="T317" i="4"/>
  <c r="T318" i="4"/>
  <c r="T319" i="4"/>
  <c r="T320" i="4"/>
  <c r="T321" i="4"/>
  <c r="T322" i="4"/>
  <c r="T323" i="4"/>
  <c r="T325" i="4"/>
  <c r="T329" i="4"/>
  <c r="T330" i="4"/>
  <c r="T331" i="4"/>
  <c r="T332" i="4"/>
  <c r="T333" i="4"/>
  <c r="T334" i="4"/>
  <c r="T335" i="4"/>
  <c r="T337" i="4"/>
  <c r="T341" i="4"/>
  <c r="T342" i="4"/>
  <c r="T343" i="4"/>
  <c r="T344" i="4"/>
  <c r="T345" i="4"/>
  <c r="T346" i="4"/>
  <c r="T347" i="4"/>
  <c r="T349" i="4"/>
  <c r="T351" i="4"/>
  <c r="T353" i="4"/>
  <c r="T354" i="4"/>
  <c r="T355" i="4"/>
  <c r="T356" i="4"/>
  <c r="T357" i="4"/>
  <c r="T358" i="4"/>
  <c r="T359" i="4"/>
  <c r="T361" i="4"/>
  <c r="T365" i="4"/>
  <c r="T366" i="4"/>
  <c r="T367" i="4"/>
  <c r="T368" i="4"/>
  <c r="T369" i="4"/>
  <c r="T370" i="4"/>
  <c r="T371" i="4"/>
  <c r="T373" i="4"/>
  <c r="T377" i="4"/>
  <c r="T378" i="4"/>
  <c r="T379" i="4"/>
  <c r="T380" i="4"/>
  <c r="T381" i="4"/>
  <c r="T382" i="4"/>
  <c r="T383" i="4"/>
  <c r="T385" i="4"/>
  <c r="T389" i="4"/>
  <c r="T390" i="4"/>
  <c r="T391" i="4"/>
  <c r="T392" i="4"/>
  <c r="T393" i="4"/>
  <c r="T394" i="4"/>
  <c r="T395" i="4"/>
  <c r="T397" i="4"/>
  <c r="T401" i="4"/>
  <c r="T402" i="4"/>
  <c r="T403" i="4"/>
  <c r="T404" i="4"/>
  <c r="T405" i="4"/>
  <c r="T406" i="4"/>
  <c r="T407" i="4"/>
  <c r="T409" i="4"/>
  <c r="T413" i="4"/>
  <c r="T414" i="4"/>
  <c r="T415" i="4"/>
  <c r="T416" i="4"/>
  <c r="T417" i="4"/>
  <c r="T418" i="4"/>
  <c r="T419" i="4"/>
  <c r="T421" i="4"/>
  <c r="T423" i="4"/>
  <c r="T425" i="4"/>
  <c r="T426" i="4"/>
  <c r="T427" i="4"/>
  <c r="T428" i="4"/>
  <c r="T429" i="4"/>
  <c r="T430" i="4"/>
  <c r="T431" i="4"/>
  <c r="T433" i="4"/>
  <c r="T437" i="4"/>
  <c r="T438" i="4"/>
  <c r="T439" i="4"/>
  <c r="T440" i="4"/>
  <c r="T441" i="4"/>
  <c r="T442" i="4"/>
  <c r="T443" i="4"/>
  <c r="T445" i="4"/>
  <c r="T449" i="4"/>
  <c r="T450" i="4"/>
  <c r="T451" i="4"/>
  <c r="T452" i="4"/>
  <c r="T453" i="4"/>
  <c r="T454" i="4"/>
  <c r="T455" i="4"/>
  <c r="T457" i="4"/>
  <c r="T461" i="4"/>
  <c r="T462" i="4"/>
  <c r="T463" i="4"/>
  <c r="T464" i="4"/>
  <c r="T465" i="4"/>
  <c r="T466" i="4"/>
  <c r="T467" i="4"/>
  <c r="T469" i="4"/>
  <c r="T473" i="4"/>
  <c r="T474" i="4"/>
  <c r="T475" i="4"/>
  <c r="T476" i="4"/>
  <c r="T477" i="4"/>
  <c r="T478" i="4"/>
  <c r="T479" i="4"/>
  <c r="T481" i="4"/>
  <c r="T485" i="4"/>
  <c r="T486" i="4"/>
  <c r="T487" i="4"/>
  <c r="T488" i="4"/>
  <c r="T489" i="4"/>
  <c r="T490" i="4"/>
  <c r="T491" i="4"/>
  <c r="T493" i="4"/>
  <c r="T495" i="4"/>
  <c r="T497" i="4"/>
  <c r="T498" i="4"/>
  <c r="T499" i="4"/>
  <c r="T196" i="4"/>
  <c r="T66" i="4"/>
  <c r="T65" i="4"/>
  <c r="T64" i="4"/>
  <c r="T63" i="4"/>
  <c r="T62" i="4"/>
  <c r="T61" i="4"/>
  <c r="T60" i="4"/>
  <c r="T59" i="4"/>
  <c r="T58" i="4"/>
  <c r="T57" i="4"/>
  <c r="T56" i="4"/>
  <c r="T195" i="4"/>
  <c r="T191" i="4"/>
  <c r="T190" i="4"/>
  <c r="T189" i="4"/>
  <c r="T188" i="4"/>
  <c r="T186" i="4"/>
  <c r="T185" i="4"/>
  <c r="T184" i="4"/>
  <c r="T179" i="4"/>
  <c r="T178" i="4"/>
  <c r="T177" i="4"/>
  <c r="T176" i="4"/>
  <c r="T175" i="4"/>
  <c r="T174" i="4"/>
  <c r="T173" i="4"/>
  <c r="T172" i="4"/>
  <c r="T171" i="4"/>
  <c r="T170" i="4"/>
  <c r="T168" i="4"/>
  <c r="T166" i="4"/>
  <c r="T165" i="4"/>
  <c r="T164" i="4"/>
  <c r="T163" i="4"/>
  <c r="T162" i="4"/>
  <c r="T161" i="4"/>
  <c r="T160" i="4"/>
  <c r="T154" i="4"/>
  <c r="T153" i="4"/>
  <c r="T152" i="4"/>
  <c r="T151" i="4"/>
  <c r="T150" i="4"/>
  <c r="T149" i="4"/>
  <c r="T148" i="4"/>
  <c r="T147" i="4"/>
  <c r="T146" i="4"/>
  <c r="T143" i="4"/>
  <c r="T142" i="4"/>
  <c r="T141" i="4"/>
  <c r="T140" i="4"/>
  <c r="T139" i="4"/>
  <c r="T138" i="4"/>
  <c r="T137" i="4"/>
  <c r="T131" i="4"/>
  <c r="T130" i="4"/>
  <c r="T129" i="4"/>
  <c r="T128" i="4"/>
  <c r="T127" i="4"/>
  <c r="T126" i="4"/>
  <c r="T125" i="4"/>
  <c r="T124" i="4"/>
  <c r="T119" i="4"/>
  <c r="T118" i="4"/>
  <c r="T117" i="4"/>
  <c r="T116" i="4"/>
  <c r="T115" i="4"/>
  <c r="T114" i="4"/>
  <c r="T113" i="4"/>
  <c r="T112" i="4"/>
  <c r="T111" i="4"/>
  <c r="T110" i="4"/>
  <c r="T107" i="4"/>
  <c r="T106" i="4"/>
  <c r="T105" i="4"/>
  <c r="T104" i="4"/>
  <c r="T103" i="4"/>
  <c r="T102" i="4"/>
  <c r="T101" i="4"/>
  <c r="T100" i="4"/>
  <c r="T98" i="4"/>
  <c r="T95" i="4"/>
  <c r="T94" i="4"/>
  <c r="T93" i="4"/>
  <c r="T92" i="4"/>
  <c r="T91" i="4"/>
  <c r="T90" i="4"/>
  <c r="T89" i="4"/>
  <c r="T86" i="4"/>
  <c r="T85" i="4"/>
  <c r="T82" i="4"/>
  <c r="T81" i="4"/>
  <c r="T80" i="4"/>
  <c r="T79" i="4"/>
  <c r="T78" i="4"/>
  <c r="T77" i="4"/>
  <c r="T76" i="4"/>
  <c r="T75" i="4"/>
  <c r="T74" i="4"/>
  <c r="T70" i="4"/>
  <c r="T69" i="4"/>
  <c r="T68" i="4"/>
  <c r="T67" i="4"/>
  <c r="T55" i="4"/>
  <c r="T54" i="4"/>
  <c r="T50" i="4"/>
  <c r="T49" i="4"/>
  <c r="T47" i="4"/>
  <c r="T45" i="4"/>
  <c r="T44" i="4"/>
  <c r="T43" i="4"/>
  <c r="T41" i="4"/>
  <c r="T40" i="4"/>
  <c r="T38" i="4"/>
  <c r="T35" i="4"/>
  <c r="T34" i="4"/>
  <c r="T33" i="4"/>
  <c r="T32" i="4"/>
  <c r="T31" i="4"/>
  <c r="T30" i="4"/>
  <c r="T29" i="4"/>
  <c r="T28" i="4"/>
  <c r="T27" i="4"/>
  <c r="T26" i="4"/>
  <c r="T23" i="4"/>
  <c r="T22" i="4"/>
  <c r="T21" i="4"/>
  <c r="T20" i="4"/>
  <c r="T19" i="4"/>
  <c r="T18" i="4"/>
  <c r="T17" i="4"/>
  <c r="T16" i="4"/>
  <c r="T15" i="4"/>
  <c r="T14" i="4"/>
  <c r="T13" i="4"/>
  <c r="T11" i="4"/>
  <c r="T10" i="4"/>
  <c r="T9" i="4"/>
  <c r="T8" i="4"/>
  <c r="T6" i="4"/>
  <c r="T4" i="4"/>
  <c r="T3" i="4"/>
  <c r="M2" i="4"/>
  <c r="U2" i="4" s="1"/>
  <c r="T2" i="4" s="1"/>
  <c r="O2" i="4"/>
  <c r="P2" i="4" s="1"/>
  <c r="T25" i="4"/>
  <c r="T36" i="4"/>
  <c r="T37" i="4"/>
  <c r="T39" i="4"/>
  <c r="T48" i="4"/>
  <c r="T71" i="4"/>
  <c r="T72" i="4"/>
  <c r="T73" i="4"/>
  <c r="T83" i="4"/>
  <c r="T84" i="4"/>
  <c r="T87" i="4"/>
  <c r="T88" i="4"/>
  <c r="T96" i="4"/>
  <c r="T97" i="4"/>
  <c r="T99" i="4"/>
  <c r="T108" i="4"/>
  <c r="T109" i="4"/>
  <c r="T120" i="4"/>
  <c r="T121" i="4"/>
  <c r="T122" i="4"/>
  <c r="T123" i="4"/>
  <c r="T132" i="4"/>
  <c r="T133" i="4"/>
  <c r="T134" i="4"/>
  <c r="T135" i="4"/>
  <c r="T136" i="4"/>
  <c r="T144" i="4"/>
  <c r="T145" i="4"/>
  <c r="T155" i="4"/>
  <c r="T156" i="4"/>
  <c r="T157" i="4"/>
  <c r="T158" i="4"/>
  <c r="T159" i="4"/>
  <c r="T167" i="4"/>
  <c r="T169" i="4"/>
  <c r="T180" i="4"/>
  <c r="T181" i="4"/>
  <c r="T182" i="4"/>
  <c r="T183" i="4"/>
  <c r="T187" i="4"/>
  <c r="T192" i="4"/>
  <c r="T193" i="4"/>
  <c r="T194" i="4"/>
  <c r="N5" i="4" l="1"/>
  <c r="O5" i="4" s="1"/>
  <c r="P5" i="4" s="1"/>
  <c r="M5" i="4"/>
  <c r="U5" i="4" s="1"/>
  <c r="T5" i="4" s="1"/>
  <c r="T12" i="4"/>
  <c r="T42" i="4"/>
  <c r="T7" i="4"/>
  <c r="T51" i="4"/>
  <c r="T46" i="4"/>
  <c r="T24" i="4" l="1"/>
  <c r="T52" i="4"/>
  <c r="T53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FD0108-5D42-4B48-8456-A7C54EA4D4C7}" keepAlive="1" name="Requête - REQ_NETTOYAGE" description="Connexion à la requête « REQ_NETTOYAGE » dans le classeur." type="5" refreshedVersion="8" background="1" saveData="1">
    <dbPr connection="Provider=Microsoft.Mashup.OleDb.1;Data Source=$Workbook$;Location=REQ_NETTOYAGE;Extended Properties=&quot;&quot;" command="SELECT * FROM [REQ_NETTOYAGE]"/>
  </connection>
</connections>
</file>

<file path=xl/sharedStrings.xml><?xml version="1.0" encoding="utf-8"?>
<sst xmlns="http://schemas.openxmlformats.org/spreadsheetml/2006/main" count="3451" uniqueCount="761">
  <si>
    <t>DATE_OP</t>
  </si>
  <si>
    <t>GES</t>
  </si>
  <si>
    <t>NOM_GES</t>
  </si>
  <si>
    <t>CLI</t>
  </si>
  <si>
    <t>NCP</t>
  </si>
  <si>
    <t>CLC</t>
  </si>
  <si>
    <t>NOM_CLIENT</t>
  </si>
  <si>
    <t>AGE</t>
  </si>
  <si>
    <t>LIB_OPE</t>
  </si>
  <si>
    <t>MONTANT AUTO</t>
  </si>
  <si>
    <t>POS  FUSIONNEE CPTE AVANT OP</t>
  </si>
  <si>
    <t>MONTANT OPERATION</t>
  </si>
  <si>
    <t>MONTANT DEPASSEMENT</t>
  </si>
  <si>
    <t>POS  FUSIONNEE CPTE APRES OP</t>
  </si>
  <si>
    <t xml:space="preserve">DEPASSEMENT TOTAL SUR AUTO
</t>
  </si>
  <si>
    <t>% DEPASSEMENT</t>
  </si>
  <si>
    <t>DATE_ECH</t>
  </si>
  <si>
    <t>REGULARISATION</t>
  </si>
  <si>
    <t>MOTIFS DE FORCAGE</t>
  </si>
  <si>
    <t>Commission 0,5%</t>
  </si>
  <si>
    <t>0,5% du dép</t>
  </si>
  <si>
    <t>CLIENTS</t>
  </si>
  <si>
    <t>Colonne1</t>
  </si>
  <si>
    <t>Colonne2</t>
  </si>
  <si>
    <t>Colonne3</t>
  </si>
  <si>
    <t>ELEMENTS</t>
  </si>
  <si>
    <t>05</t>
  </si>
  <si>
    <t>00021</t>
  </si>
  <si>
    <t>TRANSFERT</t>
  </si>
  <si>
    <t>Dépassement d'autorisation</t>
  </si>
  <si>
    <t>Personnes Morales</t>
  </si>
  <si>
    <t>00030</t>
  </si>
  <si>
    <t>Autorisation échue</t>
  </si>
  <si>
    <t>00183968</t>
  </si>
  <si>
    <t>01839683150</t>
  </si>
  <si>
    <t>00232746</t>
  </si>
  <si>
    <t>02327463150</t>
  </si>
  <si>
    <t>85</t>
  </si>
  <si>
    <t>10139891</t>
  </si>
  <si>
    <t>90000904413</t>
  </si>
  <si>
    <t>56</t>
  </si>
  <si>
    <t>00001</t>
  </si>
  <si>
    <t>paiement SCB</t>
  </si>
  <si>
    <t>Dépassement</t>
  </si>
  <si>
    <t>00183886</t>
  </si>
  <si>
    <t>01838863150</t>
  </si>
  <si>
    <t>SOCIETE ANONYME RAZEL CAMEROUN</t>
  </si>
  <si>
    <t>00031</t>
  </si>
  <si>
    <t>VIREMENT EMIS AUTRES AGENCE SP</t>
  </si>
  <si>
    <t>04</t>
  </si>
  <si>
    <t>00051</t>
  </si>
  <si>
    <t>01133899</t>
  </si>
  <si>
    <t>11338993150</t>
  </si>
  <si>
    <t>CHEQUES NOS CAISSE RECU AGENCE</t>
  </si>
  <si>
    <t xml:space="preserve">MEP AVCE /fact </t>
  </si>
  <si>
    <t>90001206884</t>
  </si>
  <si>
    <t>00183352</t>
  </si>
  <si>
    <t>01833523152</t>
  </si>
  <si>
    <t>00083</t>
  </si>
  <si>
    <t>05989378</t>
  </si>
  <si>
    <t>00054</t>
  </si>
  <si>
    <t>00183594</t>
  </si>
  <si>
    <t>01835943150</t>
  </si>
  <si>
    <t>00191413</t>
  </si>
  <si>
    <t>01914133150</t>
  </si>
  <si>
    <t>00424668</t>
  </si>
  <si>
    <t>04246683140</t>
  </si>
  <si>
    <t>01139464</t>
  </si>
  <si>
    <t>00185200</t>
  </si>
  <si>
    <t>01852003150</t>
  </si>
  <si>
    <t>00183231</t>
  </si>
  <si>
    <t>01832313150</t>
  </si>
  <si>
    <t>SAISIE MISE A DISPOSITION</t>
  </si>
  <si>
    <t>00185848</t>
  </si>
  <si>
    <t>01858483150</t>
  </si>
  <si>
    <t>10087140</t>
  </si>
  <si>
    <t>90000511862</t>
  </si>
  <si>
    <t>82</t>
  </si>
  <si>
    <t>N/A</t>
  </si>
  <si>
    <t>01138914</t>
  </si>
  <si>
    <t>11389143150</t>
  </si>
  <si>
    <t>53</t>
  </si>
  <si>
    <t>sous 24 h, Mobilisation d'une facture de 7 M XAF en cours</t>
  </si>
  <si>
    <t>RETRAIT ESP  CHQ GUICHET DEP</t>
  </si>
  <si>
    <t>00184454</t>
  </si>
  <si>
    <t>01844543150</t>
  </si>
  <si>
    <t>95</t>
  </si>
  <si>
    <t>00226533</t>
  </si>
  <si>
    <t>02265333150</t>
  </si>
  <si>
    <t>26</t>
  </si>
  <si>
    <t>09258054</t>
  </si>
  <si>
    <t>92580543150</t>
  </si>
  <si>
    <t>69</t>
  </si>
  <si>
    <t>00069</t>
  </si>
  <si>
    <t>00053</t>
  </si>
  <si>
    <t>00034</t>
  </si>
  <si>
    <t>39</t>
  </si>
  <si>
    <t>00277457</t>
  </si>
  <si>
    <t>02774573150</t>
  </si>
  <si>
    <t>REMDOC</t>
  </si>
  <si>
    <t>05953149</t>
  </si>
  <si>
    <t>Auto Renouvelée N/I</t>
  </si>
  <si>
    <t>46</t>
  </si>
  <si>
    <t>05485704</t>
  </si>
  <si>
    <t>54857043150</t>
  </si>
  <si>
    <t>73</t>
  </si>
  <si>
    <t>10188657</t>
  </si>
  <si>
    <t>90001495463</t>
  </si>
  <si>
    <t>57</t>
  </si>
  <si>
    <t>05952061</t>
  </si>
  <si>
    <t>00185508</t>
  </si>
  <si>
    <t>01855083150</t>
  </si>
  <si>
    <t>RETRAIT DEPLACE</t>
  </si>
  <si>
    <t>90000855843</t>
  </si>
  <si>
    <t>10122291</t>
  </si>
  <si>
    <t>90000743504</t>
  </si>
  <si>
    <t>64</t>
  </si>
  <si>
    <t>90</t>
  </si>
  <si>
    <t xml:space="preserve">VIREMENT SYGMA AUTRE BANQUE   </t>
  </si>
  <si>
    <t xml:space="preserve">VIREMENT PAIEMENT IMPOTS      </t>
  </si>
  <si>
    <t xml:space="preserve">VIREMENT MULTIPLE             </t>
  </si>
  <si>
    <t xml:space="preserve">VIREMENT EMIS AUTRES AGENCE   </t>
  </si>
  <si>
    <t xml:space="preserve">APPEL D'ÉCHÉANCE F.           </t>
  </si>
  <si>
    <t xml:space="preserve">RETOUR COMPENSATION CHEQUE    </t>
  </si>
  <si>
    <t xml:space="preserve">CHEQUE DE BANQUE DEPLACE      </t>
  </si>
  <si>
    <t xml:space="preserve">AUTO DÉCOUVERT ENTREPRISE     </t>
  </si>
  <si>
    <t xml:space="preserve">VIREMENT MEME AGENCE          </t>
  </si>
  <si>
    <t xml:space="preserve">VIREMENT AUTRES BANQUES       </t>
  </si>
  <si>
    <t xml:space="preserve">APPEL D'ÉCHÉANCE              </t>
  </si>
  <si>
    <t xml:space="preserve">ACCEPTATION REMDOC IMPORT     </t>
  </si>
  <si>
    <t xml:space="preserve">REGLEMENT REMDOC IMPORT       </t>
  </si>
  <si>
    <t xml:space="preserve">EFFET RECU DES AUTRES AGENCES </t>
  </si>
  <si>
    <t xml:space="preserve">CHEQUE DE BANQUE              </t>
  </si>
  <si>
    <t xml:space="preserve">SORT EFFET NOS CAISSES        </t>
  </si>
  <si>
    <t xml:space="preserve">TRANSFERT SCB OUR             </t>
  </si>
  <si>
    <t xml:space="preserve">RETRAIT ESP. CHEQUE GUICHET   </t>
  </si>
  <si>
    <t xml:space="preserve">TRANSFERT BEAC OUR            </t>
  </si>
  <si>
    <t xml:space="preserve">RETRAIT ESPECES CHQ CLIENT    </t>
  </si>
  <si>
    <t>RETRAIT ESPECES CHQ CLIENT DEP</t>
  </si>
  <si>
    <t xml:space="preserve">VRT PAIEMENT IMPOTS SYGMA     </t>
  </si>
  <si>
    <t xml:space="preserve">VRT PAIEMENT IMPOTS           </t>
  </si>
  <si>
    <t xml:space="preserve">ÉCHÉANCE DE PRÊT              </t>
  </si>
  <si>
    <t xml:space="preserve">RC ENCAISST MEME AGENCE       </t>
  </si>
  <si>
    <t xml:space="preserve">EFFET RETOUR COMPENSATION     </t>
  </si>
  <si>
    <t xml:space="preserve">REVENUS BEAC OUR              </t>
  </si>
  <si>
    <t xml:space="preserve">REVENUS SCB OUR               </t>
  </si>
  <si>
    <t xml:space="preserve">SAISIE MAD SIMPLE             </t>
  </si>
  <si>
    <t>Auto Accordée N/I</t>
  </si>
  <si>
    <t>08766318</t>
  </si>
  <si>
    <t>00039</t>
  </si>
  <si>
    <t>00185079</t>
  </si>
  <si>
    <t>01850793150</t>
  </si>
  <si>
    <t>01</t>
  </si>
  <si>
    <t>00278317</t>
  </si>
  <si>
    <t>02783173150</t>
  </si>
  <si>
    <t>00183295</t>
  </si>
  <si>
    <t>01832953150</t>
  </si>
  <si>
    <t>00286158</t>
  </si>
  <si>
    <t>02</t>
  </si>
  <si>
    <t>01133027</t>
  </si>
  <si>
    <t>01187208</t>
  </si>
  <si>
    <t>07956248</t>
  </si>
  <si>
    <t>00064</t>
  </si>
  <si>
    <t>00183815</t>
  </si>
  <si>
    <t>01838153150</t>
  </si>
  <si>
    <t>00190756</t>
  </si>
  <si>
    <t>01907563150</t>
  </si>
  <si>
    <t>00187201</t>
  </si>
  <si>
    <t>01872013150</t>
  </si>
  <si>
    <t>00086</t>
  </si>
  <si>
    <t>05995130</t>
  </si>
  <si>
    <t>00187742</t>
  </si>
  <si>
    <t>01877423150</t>
  </si>
  <si>
    <t>EQUATORIAL FROID ET CLIMATISAT</t>
  </si>
  <si>
    <t>05951479</t>
  </si>
  <si>
    <t>03</t>
  </si>
  <si>
    <t>09270117</t>
  </si>
  <si>
    <t>01133550</t>
  </si>
  <si>
    <t>00321166</t>
  </si>
  <si>
    <t>03211663150</t>
  </si>
  <si>
    <t>59531493150</t>
  </si>
  <si>
    <t>90000122317</t>
  </si>
  <si>
    <t>01135213</t>
  </si>
  <si>
    <t>10134792</t>
  </si>
  <si>
    <t>63</t>
  </si>
  <si>
    <t>00187258</t>
  </si>
  <si>
    <t>01872583150</t>
  </si>
  <si>
    <t>09</t>
  </si>
  <si>
    <t>00289544</t>
  </si>
  <si>
    <t>02895443150</t>
  </si>
  <si>
    <t>10159444</t>
  </si>
  <si>
    <t>16</t>
  </si>
  <si>
    <t>58</t>
  </si>
  <si>
    <t>10164482</t>
  </si>
  <si>
    <t>10142301</t>
  </si>
  <si>
    <t>90000931369</t>
  </si>
  <si>
    <t>77</t>
  </si>
  <si>
    <t>90001777789</t>
  </si>
  <si>
    <t>45</t>
  </si>
  <si>
    <t>65</t>
  </si>
  <si>
    <t>05989638</t>
  </si>
  <si>
    <t>59896383150</t>
  </si>
  <si>
    <t>30</t>
  </si>
  <si>
    <t>12</t>
  </si>
  <si>
    <t>59514793150</t>
  </si>
  <si>
    <t>86</t>
  </si>
  <si>
    <t>00185022</t>
  </si>
  <si>
    <t>01850223151</t>
  </si>
  <si>
    <t>59520613150</t>
  </si>
  <si>
    <t>07</t>
  </si>
  <si>
    <t>34</t>
  </si>
  <si>
    <t>31</t>
  </si>
  <si>
    <t>90001253496</t>
  </si>
  <si>
    <t>00254372</t>
  </si>
  <si>
    <t>02543723150</t>
  </si>
  <si>
    <t>00343401</t>
  </si>
  <si>
    <t>03434013150</t>
  </si>
  <si>
    <t>10030799</t>
  </si>
  <si>
    <t>90000191513</t>
  </si>
  <si>
    <t>38</t>
  </si>
  <si>
    <t>74</t>
  </si>
  <si>
    <t>05956825</t>
  </si>
  <si>
    <t>59568253150</t>
  </si>
  <si>
    <t>80</t>
  </si>
  <si>
    <t>00920792</t>
  </si>
  <si>
    <t>09207923150</t>
  </si>
  <si>
    <t>10092953</t>
  </si>
  <si>
    <t>90000558861</t>
  </si>
  <si>
    <t>54</t>
  </si>
  <si>
    <t>21</t>
  </si>
  <si>
    <t>25</t>
  </si>
  <si>
    <t>35</t>
  </si>
  <si>
    <t>00229796</t>
  </si>
  <si>
    <t>02297963150</t>
  </si>
  <si>
    <t>10083068</t>
  </si>
  <si>
    <t>90000482698</t>
  </si>
  <si>
    <t>10039227</t>
  </si>
  <si>
    <t>90000236866</t>
  </si>
  <si>
    <t>00185129</t>
  </si>
  <si>
    <t>01851293150</t>
  </si>
  <si>
    <t>10030504</t>
  </si>
  <si>
    <t>90000190163</t>
  </si>
  <si>
    <t>10</t>
  </si>
  <si>
    <t>10152825</t>
  </si>
  <si>
    <t>90001058450</t>
  </si>
  <si>
    <t>44</t>
  </si>
  <si>
    <t>10155843</t>
  </si>
  <si>
    <t>90001076552</t>
  </si>
  <si>
    <t>10120909</t>
  </si>
  <si>
    <t>90000735499</t>
  </si>
  <si>
    <t>61</t>
  </si>
  <si>
    <t>10064493</t>
  </si>
  <si>
    <t>90000391811</t>
  </si>
  <si>
    <t>10073639</t>
  </si>
  <si>
    <t>90000480142</t>
  </si>
  <si>
    <t>79562483150</t>
  </si>
  <si>
    <t>83</t>
  </si>
  <si>
    <t>10152801</t>
  </si>
  <si>
    <t>90001058289</t>
  </si>
  <si>
    <t>42</t>
  </si>
  <si>
    <t>10167761</t>
  </si>
  <si>
    <t>90001244352</t>
  </si>
  <si>
    <t>88</t>
  </si>
  <si>
    <t>10100156</t>
  </si>
  <si>
    <t>90000598104</t>
  </si>
  <si>
    <t>55</t>
  </si>
  <si>
    <t>91</t>
  </si>
  <si>
    <t>32</t>
  </si>
  <si>
    <t>89</t>
  </si>
  <si>
    <t>10144448</t>
  </si>
  <si>
    <t>90000962248</t>
  </si>
  <si>
    <t>00072</t>
  </si>
  <si>
    <t>87663183140</t>
  </si>
  <si>
    <t>22</t>
  </si>
  <si>
    <t>10175448</t>
  </si>
  <si>
    <t>90001353033</t>
  </si>
  <si>
    <t>24</t>
  </si>
  <si>
    <t>06012521</t>
  </si>
  <si>
    <t>60125213150</t>
  </si>
  <si>
    <t>79</t>
  </si>
  <si>
    <t>10199429</t>
  </si>
  <si>
    <t>90001608636</t>
  </si>
  <si>
    <t>97</t>
  </si>
  <si>
    <t>59951303150</t>
  </si>
  <si>
    <t>59</t>
  </si>
  <si>
    <t>10163914</t>
  </si>
  <si>
    <t>90001200503</t>
  </si>
  <si>
    <t>01191518</t>
  </si>
  <si>
    <t>11915183150</t>
  </si>
  <si>
    <t>10202263</t>
  </si>
  <si>
    <t>70</t>
  </si>
  <si>
    <t>11394643150</t>
  </si>
  <si>
    <t>29</t>
  </si>
  <si>
    <t>50</t>
  </si>
  <si>
    <t>49</t>
  </si>
  <si>
    <t>10134492</t>
  </si>
  <si>
    <t>90000853402</t>
  </si>
  <si>
    <t>14</t>
  </si>
  <si>
    <t>90001637305</t>
  </si>
  <si>
    <t>04278547</t>
  </si>
  <si>
    <t>42785473150</t>
  </si>
  <si>
    <t>00037</t>
  </si>
  <si>
    <t>48</t>
  </si>
  <si>
    <t>17</t>
  </si>
  <si>
    <t>72</t>
  </si>
  <si>
    <t>00424508</t>
  </si>
  <si>
    <t>04245083150</t>
  </si>
  <si>
    <t>00291132</t>
  </si>
  <si>
    <t>02911323150</t>
  </si>
  <si>
    <t>09258047</t>
  </si>
  <si>
    <t>10020228</t>
  </si>
  <si>
    <t>90000149241</t>
  </si>
  <si>
    <t>66</t>
  </si>
  <si>
    <t>10147745</t>
  </si>
  <si>
    <t>90001013857</t>
  </si>
  <si>
    <t>10133485</t>
  </si>
  <si>
    <t>90000847233</t>
  </si>
  <si>
    <t>94</t>
  </si>
  <si>
    <t>00463557</t>
  </si>
  <si>
    <t>90000516156</t>
  </si>
  <si>
    <t>00184438</t>
  </si>
  <si>
    <t>01844383150</t>
  </si>
  <si>
    <t>11352133150</t>
  </si>
  <si>
    <t>92580473151</t>
  </si>
  <si>
    <t>84</t>
  </si>
  <si>
    <t>05952809</t>
  </si>
  <si>
    <t>59528093150</t>
  </si>
  <si>
    <t>60</t>
  </si>
  <si>
    <t>10045713</t>
  </si>
  <si>
    <t>90000295685</t>
  </si>
  <si>
    <t>93</t>
  </si>
  <si>
    <t>10154762</t>
  </si>
  <si>
    <t>90001069649</t>
  </si>
  <si>
    <t>02572723150</t>
  </si>
  <si>
    <t>00278423</t>
  </si>
  <si>
    <t>02784233150</t>
  </si>
  <si>
    <t>09258175</t>
  </si>
  <si>
    <t>00463393</t>
  </si>
  <si>
    <t>04633933150</t>
  </si>
  <si>
    <t>10115309</t>
  </si>
  <si>
    <t>90000711562</t>
  </si>
  <si>
    <t>67</t>
  </si>
  <si>
    <t>00084</t>
  </si>
  <si>
    <t>75</t>
  </si>
  <si>
    <t>10121523</t>
  </si>
  <si>
    <t>90000739305</t>
  </si>
  <si>
    <t>47</t>
  </si>
  <si>
    <t>10172506</t>
  </si>
  <si>
    <t>90001299220</t>
  </si>
  <si>
    <t>96</t>
  </si>
  <si>
    <t>00183167</t>
  </si>
  <si>
    <t>01831673150</t>
  </si>
  <si>
    <t>10170018</t>
  </si>
  <si>
    <t>90001255558</t>
  </si>
  <si>
    <t>10137645</t>
  </si>
  <si>
    <t>90000890511</t>
  </si>
  <si>
    <t>10189018</t>
  </si>
  <si>
    <t>90001499804</t>
  </si>
  <si>
    <t>05485266</t>
  </si>
  <si>
    <t>54852663150</t>
  </si>
  <si>
    <t>ELECTRICITE TECHN EQUIP FOURNI</t>
  </si>
  <si>
    <t>11872083151</t>
  </si>
  <si>
    <t>10136753</t>
  </si>
  <si>
    <t>90000887778</t>
  </si>
  <si>
    <t>10173722</t>
  </si>
  <si>
    <t>90001327699</t>
  </si>
  <si>
    <t>59893783150</t>
  </si>
  <si>
    <t>10046372</t>
  </si>
  <si>
    <t>90001004350</t>
  </si>
  <si>
    <t>00257272</t>
  </si>
  <si>
    <t>10117457</t>
  </si>
  <si>
    <t>90000849953</t>
  </si>
  <si>
    <t>10224280</t>
  </si>
  <si>
    <t>90001819007</t>
  </si>
  <si>
    <t>10182892</t>
  </si>
  <si>
    <t>90001406638</t>
  </si>
  <si>
    <t>01134823</t>
  </si>
  <si>
    <t>11348233150</t>
  </si>
  <si>
    <t>10174298</t>
  </si>
  <si>
    <t>90001332827</t>
  </si>
  <si>
    <t>05484029</t>
  </si>
  <si>
    <t>10093613</t>
  </si>
  <si>
    <t>90000562514</t>
  </si>
  <si>
    <t>11335503150</t>
  </si>
  <si>
    <t>10175455</t>
  </si>
  <si>
    <t>90001353100</t>
  </si>
  <si>
    <t>10147611</t>
  </si>
  <si>
    <t>90001042183</t>
  </si>
  <si>
    <t>90001042181</t>
  </si>
  <si>
    <t>10150574</t>
  </si>
  <si>
    <t>90001037587</t>
  </si>
  <si>
    <t>10218137</t>
  </si>
  <si>
    <t>90001774155</t>
  </si>
  <si>
    <t>CABINET ETUDES ET AUDIT COMPTA</t>
  </si>
  <si>
    <t>10134443</t>
  </si>
  <si>
    <t>90000853154</t>
  </si>
  <si>
    <t>10172920</t>
  </si>
  <si>
    <t>90001310471</t>
  </si>
  <si>
    <t>92580473150</t>
  </si>
  <si>
    <t>90001543509</t>
  </si>
  <si>
    <t>10029175</t>
  </si>
  <si>
    <t>90000258065</t>
  </si>
  <si>
    <t>10172801</t>
  </si>
  <si>
    <t>90001306554</t>
  </si>
  <si>
    <t>10220485</t>
  </si>
  <si>
    <t>90001796463</t>
  </si>
  <si>
    <t>71</t>
  </si>
  <si>
    <t>10182204</t>
  </si>
  <si>
    <t>90001401256</t>
  </si>
  <si>
    <t>92</t>
  </si>
  <si>
    <t>10227927</t>
  </si>
  <si>
    <t>90001845768</t>
  </si>
  <si>
    <t>11330273150</t>
  </si>
  <si>
    <t>10173172</t>
  </si>
  <si>
    <t>90001316227</t>
  </si>
  <si>
    <t>10170625</t>
  </si>
  <si>
    <t>90001260622</t>
  </si>
  <si>
    <t>92701173151</t>
  </si>
  <si>
    <t>11335503151</t>
  </si>
  <si>
    <t>10188123</t>
  </si>
  <si>
    <t>90001487579</t>
  </si>
  <si>
    <t>10170737</t>
  </si>
  <si>
    <t>90001262769</t>
  </si>
  <si>
    <t>92581753150</t>
  </si>
  <si>
    <t>62</t>
  </si>
  <si>
    <t>90001688596</t>
  </si>
  <si>
    <t xml:space="preserve">CA YDE VOGT                   </t>
  </si>
  <si>
    <t xml:space="preserve">MOMASO WILFRIED               </t>
  </si>
  <si>
    <t>SOCIETE DES MATERIAUX ET ACCES</t>
  </si>
  <si>
    <t xml:space="preserve">NDADEM MEZATIO SERGE          </t>
  </si>
  <si>
    <t xml:space="preserve">INTEGC                        </t>
  </si>
  <si>
    <t xml:space="preserve">BOYA ALEXANDRA                </t>
  </si>
  <si>
    <t xml:space="preserve">KALFRELEC                     </t>
  </si>
  <si>
    <t xml:space="preserve">NKAMWA STANSANIS              </t>
  </si>
  <si>
    <t>SOCIETE GENERALE DE DISTRIBUTI</t>
  </si>
  <si>
    <t xml:space="preserve">TSOBZE CHOUNA SANDRA          </t>
  </si>
  <si>
    <t xml:space="preserve">SOCIETE OMOA CAMEROUN SA      </t>
  </si>
  <si>
    <t xml:space="preserve">CONNECTIK HALL                </t>
  </si>
  <si>
    <t xml:space="preserve">DORETTE                       </t>
  </si>
  <si>
    <t xml:space="preserve">CA BONANJO                    </t>
  </si>
  <si>
    <t xml:space="preserve">MULTIPRINT SERIGRAPHIE        </t>
  </si>
  <si>
    <t xml:space="preserve">LANA BIO COSMETICS            </t>
  </si>
  <si>
    <t xml:space="preserve">NJOH MBOUNDJA DAVE GUY        </t>
  </si>
  <si>
    <t xml:space="preserve">DANGOTE CEMENT CAMEROON S.A.  </t>
  </si>
  <si>
    <t xml:space="preserve">IBRAHIMA BELLO                </t>
  </si>
  <si>
    <t xml:space="preserve">CADYST GRAIN                  </t>
  </si>
  <si>
    <t xml:space="preserve">DIKOBE FRANCISE               </t>
  </si>
  <si>
    <t xml:space="preserve">MOLO BAHANAG FABRICE          </t>
  </si>
  <si>
    <t xml:space="preserve">CFAO MOBILITY CAMEROON        </t>
  </si>
  <si>
    <t>00921339</t>
  </si>
  <si>
    <t>09213393155</t>
  </si>
  <si>
    <t>ORG. DE COORD. LUTTE CONTRE LE</t>
  </si>
  <si>
    <t xml:space="preserve">MATIERE SAS                   </t>
  </si>
  <si>
    <t xml:space="preserve">MEDJO NOEL                    </t>
  </si>
  <si>
    <t xml:space="preserve">JACO SA                       </t>
  </si>
  <si>
    <t>SOCIETE CAMEROUNAISE DE MAINTE</t>
  </si>
  <si>
    <t xml:space="preserve">SELECTE SARL                  </t>
  </si>
  <si>
    <t>01247785</t>
  </si>
  <si>
    <t>12477853150</t>
  </si>
  <si>
    <t xml:space="preserve">ECRANS NOIRS                  </t>
  </si>
  <si>
    <t xml:space="preserve">DOVV DISTRIBUTION             </t>
  </si>
  <si>
    <t xml:space="preserve">ASHISH SARL                   </t>
  </si>
  <si>
    <t xml:space="preserve">ULRICH TCHAKOUNTE             </t>
  </si>
  <si>
    <t>ELIZABETHAN TRUST COMPANY LIMI</t>
  </si>
  <si>
    <t>SOCIETE DE DISTRIBUTION CAMERO</t>
  </si>
  <si>
    <t xml:space="preserve">PLANTATIONS DU HAUT PENJA     </t>
  </si>
  <si>
    <t>SOCIETE INDUSTRIELLE DES CRAYO</t>
  </si>
  <si>
    <t xml:space="preserve">MAISON DG SARL                </t>
  </si>
  <si>
    <t xml:space="preserve">CIMENTERIES DU CAMEROUN       </t>
  </si>
  <si>
    <t>10143916</t>
  </si>
  <si>
    <t>90000956562</t>
  </si>
  <si>
    <t xml:space="preserve">MAMA SARL                     </t>
  </si>
  <si>
    <t>AZANGUE FOODS DISTRIBUTION AND</t>
  </si>
  <si>
    <t>ECONOMICS FOOD AND SERVICES LT</t>
  </si>
  <si>
    <t xml:space="preserve">STE GENERALE DE CONSTRUCTIONS </t>
  </si>
  <si>
    <t>01191436</t>
  </si>
  <si>
    <t>11914363151</t>
  </si>
  <si>
    <t xml:space="preserve">MOABI SARL                    </t>
  </si>
  <si>
    <t>54840293150</t>
  </si>
  <si>
    <t>ETS CAMEROUNAIS DE TECHNICIENS</t>
  </si>
  <si>
    <t xml:space="preserve">SOPRAT                        </t>
  </si>
  <si>
    <t xml:space="preserve">GROUPE DPE INTERNATIONAL      </t>
  </si>
  <si>
    <t xml:space="preserve">CANA BOIS                     </t>
  </si>
  <si>
    <t>10079328</t>
  </si>
  <si>
    <t>90000464532</t>
  </si>
  <si>
    <t xml:space="preserve">ENGINEERS GLOBAL FIRM         </t>
  </si>
  <si>
    <t>10120162</t>
  </si>
  <si>
    <t>90000732082</t>
  </si>
  <si>
    <t xml:space="preserve">AGROPRO SARL                  </t>
  </si>
  <si>
    <t xml:space="preserve">WOOD AND FOREST PRODUCTS      </t>
  </si>
  <si>
    <t xml:space="preserve">AGENCE NGAOUNDERE             </t>
  </si>
  <si>
    <t xml:space="preserve">COMMUNE  DE TIGNERE           </t>
  </si>
  <si>
    <t xml:space="preserve">MARIANA ESTEPHAN              </t>
  </si>
  <si>
    <t>SOCIETE CAMEROUNAISE DES DEPOT</t>
  </si>
  <si>
    <t xml:space="preserve">NKWULI LAREL                  </t>
  </si>
  <si>
    <t>01231051</t>
  </si>
  <si>
    <t>90001554865</t>
  </si>
  <si>
    <t xml:space="preserve">ECOLE PRIMAIRE CEBEC FRED     </t>
  </si>
  <si>
    <t>01256745</t>
  </si>
  <si>
    <t>12567453150</t>
  </si>
  <si>
    <t>STE CAM DES INDUST ALIMENTAIRE</t>
  </si>
  <si>
    <t xml:space="preserve">N &amp; N ASSURANCES              </t>
  </si>
  <si>
    <t xml:space="preserve">MOBYL PETROLIUM               </t>
  </si>
  <si>
    <t>10174735</t>
  </si>
  <si>
    <t>90001340710</t>
  </si>
  <si>
    <t xml:space="preserve">DIPRESS                       </t>
  </si>
  <si>
    <t xml:space="preserve">METCH - ELEC                  </t>
  </si>
  <si>
    <t xml:space="preserve">DACAM                         </t>
  </si>
  <si>
    <t xml:space="preserve">INSTRUMELEC SARL              </t>
  </si>
  <si>
    <t xml:space="preserve">AFRICAN CHEMICAL INDUSTRY     </t>
  </si>
  <si>
    <t>STE CAMEROUNAISE DE PURIFICATI</t>
  </si>
  <si>
    <t xml:space="preserve">EUROPE AFRIQUE DES TRAVAUX    </t>
  </si>
  <si>
    <t xml:space="preserve">SOURCE DU PAYS                </t>
  </si>
  <si>
    <t xml:space="preserve"> ETS MOADRIE                  </t>
  </si>
  <si>
    <t xml:space="preserve">ERIUM CAMEROUN                </t>
  </si>
  <si>
    <t>10188619</t>
  </si>
  <si>
    <t>90001494783</t>
  </si>
  <si>
    <t>TRANSPORT NOURADINE MAHAMAT ET</t>
  </si>
  <si>
    <t xml:space="preserve">FAVOUR EXPRESS                </t>
  </si>
  <si>
    <t xml:space="preserve">ETS CRAZY BOX                 </t>
  </si>
  <si>
    <t>00187030</t>
  </si>
  <si>
    <t>01870303150</t>
  </si>
  <si>
    <t xml:space="preserve">ALIZES   S A                  </t>
  </si>
  <si>
    <t>00345270</t>
  </si>
  <si>
    <t>03452703150</t>
  </si>
  <si>
    <t>PELLEGRINI CATERING CAMEROON S</t>
  </si>
  <si>
    <t xml:space="preserve">GRAPHICS SYSTEMS SARL         </t>
  </si>
  <si>
    <t xml:space="preserve">AFRICA SECURITY CAMEROUN      </t>
  </si>
  <si>
    <t>SOCIETE DE SERVICES ET D'INSTA</t>
  </si>
  <si>
    <t>CENTRE DE REALISATION ET D'ETU</t>
  </si>
  <si>
    <t xml:space="preserve">SMARTRACK AFRICA COMPANY      </t>
  </si>
  <si>
    <t>10149589</t>
  </si>
  <si>
    <t>90001031487</t>
  </si>
  <si>
    <t xml:space="preserve">EASY PRINT                    </t>
  </si>
  <si>
    <t xml:space="preserve">LE MOULIN DE FRANCE           </t>
  </si>
  <si>
    <t xml:space="preserve">MEDICAM S.A.                  </t>
  </si>
  <si>
    <t xml:space="preserve">CENTRALE DES ACHATS ET PREST  </t>
  </si>
  <si>
    <t xml:space="preserve">CREATIVE SARL                 </t>
  </si>
  <si>
    <t xml:space="preserve">GEORGES § JERRY CONSTRUCTION  </t>
  </si>
  <si>
    <t xml:space="preserve">SOCIETE BRAD TRANSIT SARL     </t>
  </si>
  <si>
    <t xml:space="preserve">X MEDICAL INTERNATIONAL SA    </t>
  </si>
  <si>
    <t xml:space="preserve">PICTET CAMEROUN               </t>
  </si>
  <si>
    <t xml:space="preserve">OK FOODS CAMEROON             </t>
  </si>
  <si>
    <t>00183263</t>
  </si>
  <si>
    <t>01832633150</t>
  </si>
  <si>
    <t>TOTALENERGIES MARKETING CAMERO</t>
  </si>
  <si>
    <t xml:space="preserve">SOCIETE SC2R SARL             </t>
  </si>
  <si>
    <t xml:space="preserve">SOCIETE DE PRODUITS NOUVEAUX  </t>
  </si>
  <si>
    <t>CONTINENTAL OIL TRANSPORTATION</t>
  </si>
  <si>
    <t>10207137</t>
  </si>
  <si>
    <t>90001666392</t>
  </si>
  <si>
    <t>SOCIETE REPRESENTATION D'IMPOR</t>
  </si>
  <si>
    <t xml:space="preserve">BERNABE CAMEROUN              </t>
  </si>
  <si>
    <t>SOCIETE CENTRE SERVICES EXPRES</t>
  </si>
  <si>
    <t xml:space="preserve">PAPETERIE LOUIS TORBEY        </t>
  </si>
  <si>
    <t>10180911</t>
  </si>
  <si>
    <t>90001393537</t>
  </si>
  <si>
    <t>RM MILLINIUM NEGOCE &amp; SERVICES</t>
  </si>
  <si>
    <t xml:space="preserve">TELCAR COCOA LIMITED          </t>
  </si>
  <si>
    <t xml:space="preserve">PRO ASSUR                     </t>
  </si>
  <si>
    <t xml:space="preserve">CAMFOOD                       </t>
  </si>
  <si>
    <t>TRAVAUX PUBLICS ET INDUSTRIELS</t>
  </si>
  <si>
    <t xml:space="preserve">FIRST TRUST SAVINGS AND LOAN  </t>
  </si>
  <si>
    <t xml:space="preserve">KENGNE FOTSO JOEL WILLIAM     </t>
  </si>
  <si>
    <t>SOCIETE DE NEGOCE ET DE TRANSP</t>
  </si>
  <si>
    <t xml:space="preserve">SOCIETE MISTER CLEAN          </t>
  </si>
  <si>
    <t xml:space="preserve">FOBS SA                       </t>
  </si>
  <si>
    <t xml:space="preserve">PHARMACIE JOSS                </t>
  </si>
  <si>
    <t xml:space="preserve">PHARMACIE DE KOUMASSI         </t>
  </si>
  <si>
    <t>CITY MESSENGERS MESSAGERIE RAP</t>
  </si>
  <si>
    <t xml:space="preserve">SMART BUSINESS SERVICES       </t>
  </si>
  <si>
    <t xml:space="preserve">MEGA OPTIC (ETS)              </t>
  </si>
  <si>
    <t>10115770</t>
  </si>
  <si>
    <t>90000850634</t>
  </si>
  <si>
    <t xml:space="preserve">SOCIETE GAMOS LTD             </t>
  </si>
  <si>
    <t xml:space="preserve">MT-SOLUTIONS SARL             </t>
  </si>
  <si>
    <t xml:space="preserve">ESPACE SERVICES               </t>
  </si>
  <si>
    <t xml:space="preserve">CALICAM INDUSTRIES LIMITED    </t>
  </si>
  <si>
    <t>SOCIETE D'EXPLOITATION DES ETA</t>
  </si>
  <si>
    <t xml:space="preserve">DOUALA                        </t>
  </si>
  <si>
    <t xml:space="preserve">APB &amp; PARTNERS                </t>
  </si>
  <si>
    <t xml:space="preserve">PANZANI CAMEROUN SA           </t>
  </si>
  <si>
    <t xml:space="preserve">CFAO TECHNOLOGIES             </t>
  </si>
  <si>
    <t>10015949</t>
  </si>
  <si>
    <t>90000462722</t>
  </si>
  <si>
    <t xml:space="preserve">WAFA ASSURANCE VIE CAMEROUN   </t>
  </si>
  <si>
    <t>00219211</t>
  </si>
  <si>
    <t>02192113150</t>
  </si>
  <si>
    <t xml:space="preserve">NET SPEED SARL                </t>
  </si>
  <si>
    <t>10198850</t>
  </si>
  <si>
    <t>90001597291</t>
  </si>
  <si>
    <t xml:space="preserve">ETS HAIB                      </t>
  </si>
  <si>
    <t>SOCIETE CAMEROUNAISE DE RAFFIN</t>
  </si>
  <si>
    <t>90000691374</t>
  </si>
  <si>
    <t>90001607250</t>
  </si>
  <si>
    <t xml:space="preserve">HORIZON PHYTO PLUS            </t>
  </si>
  <si>
    <t xml:space="preserve">ENEO CAMEROUN                 </t>
  </si>
  <si>
    <t>00183427</t>
  </si>
  <si>
    <t>01834273150</t>
  </si>
  <si>
    <t xml:space="preserve">LABOREX CAMEROUN              </t>
  </si>
  <si>
    <t xml:space="preserve">STE D'EXPLOITATION FORESTIERE </t>
  </si>
  <si>
    <t>FMA SERVICES CONSTRUCTION INTE</t>
  </si>
  <si>
    <t>SOCIETE DES BOIS D'AFRIQUE CEN</t>
  </si>
  <si>
    <t xml:space="preserve">SIENCAM ENTERPRISE SARL       </t>
  </si>
  <si>
    <t>00184908</t>
  </si>
  <si>
    <t>01849083150</t>
  </si>
  <si>
    <t>HYDROCARBURES-ANALYSES-CONTROL</t>
  </si>
  <si>
    <t>SOCIETE DE TRADING ET D'EXPORT</t>
  </si>
  <si>
    <t xml:space="preserve">CAMRAIL                       </t>
  </si>
  <si>
    <t xml:space="preserve">CIMENTS DE L AFRIQUE CAMEROUN </t>
  </si>
  <si>
    <t xml:space="preserve">SOCIETE MEDLOG CAMEROUN       </t>
  </si>
  <si>
    <t xml:space="preserve">TCHUISSANG  VALERY            </t>
  </si>
  <si>
    <t>ETABLISSEMENT FOYER DES SAVEUR</t>
  </si>
  <si>
    <t xml:space="preserve">NDZANA CEDRIC                 </t>
  </si>
  <si>
    <t>10177705</t>
  </si>
  <si>
    <t>90001375306</t>
  </si>
  <si>
    <t xml:space="preserve">ETABLISSEMENT GETRACOM-INTER  </t>
  </si>
  <si>
    <t xml:space="preserve">LE GRAND-CAFE SARL            </t>
  </si>
  <si>
    <t xml:space="preserve">ETS HORLONG                   </t>
  </si>
  <si>
    <t>10128702</t>
  </si>
  <si>
    <t>90000793234</t>
  </si>
  <si>
    <t xml:space="preserve">DAS SARL                      </t>
  </si>
  <si>
    <t>CONSTRUCTION CARROSERIE MENUIS</t>
  </si>
  <si>
    <t xml:space="preserve">HOLLAND FARMING CAMEROON      </t>
  </si>
  <si>
    <t>PARLITE FOODS LIMITED LIABILIT</t>
  </si>
  <si>
    <t>10073451</t>
  </si>
  <si>
    <t>90001815500</t>
  </si>
  <si>
    <t>ATTIJARI SECURITIES CENTRAL AF</t>
  </si>
  <si>
    <t>AFRICA GLOBAL LOGISTICS CAMERO</t>
  </si>
  <si>
    <t xml:space="preserve">MOVIS CAMEROUN                </t>
  </si>
  <si>
    <t xml:space="preserve">CIMENCAM FIGUIL               </t>
  </si>
  <si>
    <t xml:space="preserve">ETS ECOPACK PAPERS            </t>
  </si>
  <si>
    <t xml:space="preserve">TEDOU MURIELLE                </t>
  </si>
  <si>
    <t>SOCIETE DE FABRICATION DES MAT</t>
  </si>
  <si>
    <t xml:space="preserve">ACIERIES DU CAMEROUN          </t>
  </si>
  <si>
    <t>11872083150</t>
  </si>
  <si>
    <t>01190689</t>
  </si>
  <si>
    <t>11906893150</t>
  </si>
  <si>
    <t xml:space="preserve">SOCIETE INDUSTRIELLE DE MBANG </t>
  </si>
  <si>
    <t xml:space="preserve">NGANDO MANUELLA               </t>
  </si>
  <si>
    <t>CABINET INTERNATIONAL D'INVEST</t>
  </si>
  <si>
    <t>10130584</t>
  </si>
  <si>
    <t>90000823166</t>
  </si>
  <si>
    <t xml:space="preserve">MASTER FOODS                  </t>
  </si>
  <si>
    <t>90001643898</t>
  </si>
  <si>
    <t>00322204</t>
  </si>
  <si>
    <t>03222043140</t>
  </si>
  <si>
    <t xml:space="preserve">SCP NGASSAM, FANSI &amp; MOUAFO   </t>
  </si>
  <si>
    <t xml:space="preserve">SAFETY &amp; CARE INSURANCE       </t>
  </si>
  <si>
    <t xml:space="preserve">DEELITE  SARL                 </t>
  </si>
  <si>
    <t>90000463832</t>
  </si>
  <si>
    <t>90001901624</t>
  </si>
  <si>
    <t xml:space="preserve">NYA MOUDZE ARMEL FRANCK       </t>
  </si>
  <si>
    <t xml:space="preserve">SOCIETE SUCRIERE DU CAMEROUN  </t>
  </si>
  <si>
    <t xml:space="preserve">CEB/LA MEUBLERIE              </t>
  </si>
  <si>
    <t xml:space="preserve">HOKA INDUSTRIE SARL           </t>
  </si>
  <si>
    <t xml:space="preserve">TRACTAFRIC MOTORS CAMEROUN    </t>
  </si>
  <si>
    <t xml:space="preserve">MAST INFORMATIQUE SARL        </t>
  </si>
  <si>
    <t xml:space="preserve">SUNTECH SARL                  </t>
  </si>
  <si>
    <t xml:space="preserve">ELIM BEVERAGES AND FOOD       </t>
  </si>
  <si>
    <t xml:space="preserve">IMPRIMERIE GLOBE TRADING      </t>
  </si>
  <si>
    <t xml:space="preserve">SOCIALIS SARL                 </t>
  </si>
  <si>
    <t xml:space="preserve">PHARMACIE DE L'HARMONIE       </t>
  </si>
  <si>
    <t>10185096</t>
  </si>
  <si>
    <t>90001430894</t>
  </si>
  <si>
    <t xml:space="preserve">BY LEGEND                     </t>
  </si>
  <si>
    <t>90001562707</t>
  </si>
  <si>
    <t xml:space="preserve">BEMA LYDIENNE                 </t>
  </si>
  <si>
    <t>00387180</t>
  </si>
  <si>
    <t>03871803000</t>
  </si>
  <si>
    <t xml:space="preserve">MOHAMADOU SANI                </t>
  </si>
  <si>
    <t>10149732</t>
  </si>
  <si>
    <t>90001032566</t>
  </si>
  <si>
    <t>SOCIETE DES TRAVAUX INDUSTRIEL</t>
  </si>
  <si>
    <t xml:space="preserve">FOUNDIKOU POUTOUOCHI NOURDI   </t>
  </si>
  <si>
    <t>02354493</t>
  </si>
  <si>
    <t>23544933000</t>
  </si>
  <si>
    <t>51</t>
  </si>
  <si>
    <t xml:space="preserve">ERNEST METANGMO               </t>
  </si>
  <si>
    <t>00070</t>
  </si>
  <si>
    <t>00068</t>
  </si>
  <si>
    <t>27</t>
  </si>
  <si>
    <t>36</t>
  </si>
  <si>
    <t xml:space="preserve">ETOUNDI ETOUNDI MICHEL KEVIN  </t>
  </si>
  <si>
    <t xml:space="preserve">MENDO RUTH                    </t>
  </si>
  <si>
    <t xml:space="preserve">SONG NYAME PATRICK DIEUNEDORT </t>
  </si>
  <si>
    <t>90000255468</t>
  </si>
  <si>
    <t>10041329</t>
  </si>
  <si>
    <t xml:space="preserve">CHEWER MEDULE                 </t>
  </si>
  <si>
    <t>90001852295</t>
  </si>
  <si>
    <t>10228407</t>
  </si>
  <si>
    <t>BERNABE CAMEROUN</t>
  </si>
  <si>
    <t>'01831673150</t>
  </si>
  <si>
    <t>CA BONANJO</t>
  </si>
  <si>
    <t>NOTE DE 
SIGNATURE</t>
  </si>
  <si>
    <t>E</t>
  </si>
  <si>
    <t>90001468829</t>
  </si>
  <si>
    <t>SOCIETE SAD TRADING &amp; SERVICES</t>
  </si>
  <si>
    <t>NDOCK MAM GASTON VALERE</t>
  </si>
  <si>
    <t>10186739</t>
  </si>
  <si>
    <t>DOUALA</t>
  </si>
  <si>
    <t>XAF</t>
  </si>
  <si>
    <t>XAF C/C ENT.PRIVEE A VUE</t>
  </si>
  <si>
    <t xml:space="preserve">      6.000.000.000</t>
  </si>
  <si>
    <t xml:space="preserve">      -4.495.673.308</t>
  </si>
  <si>
    <t xml:space="preserve">       6.000.000.000</t>
  </si>
  <si>
    <t>XAF CCT SPOTS</t>
  </si>
  <si>
    <t xml:space="preserve">      -3.650.799.452</t>
  </si>
  <si>
    <t xml:space="preserve">       1.724.371.403</t>
  </si>
  <si>
    <t>26 / 05 / 2026</t>
  </si>
  <si>
    <t>SAISIE MAD SIMPLE</t>
  </si>
  <si>
    <t>VIREMENT MULTIPLE</t>
  </si>
  <si>
    <t>C</t>
  </si>
  <si>
    <t>Pas de decision</t>
  </si>
  <si>
    <t>90001253496-69</t>
  </si>
  <si>
    <t>DANGOTE CEMENT</t>
  </si>
  <si>
    <t>VIRASP</t>
  </si>
  <si>
    <t>Débit</t>
  </si>
  <si>
    <t xml:space="preserve">             420.991</t>
  </si>
  <si>
    <t>Décision possible</t>
  </si>
  <si>
    <t>VIRBAN</t>
  </si>
  <si>
    <t xml:space="preserve">             131.473</t>
  </si>
  <si>
    <t xml:space="preserve">             131.175</t>
  </si>
  <si>
    <t xml:space="preserve">             256.091</t>
  </si>
  <si>
    <t xml:space="preserve">             255.793</t>
  </si>
  <si>
    <t xml:space="preserve">          13.663.340</t>
  </si>
  <si>
    <t xml:space="preserve">          13.663.042</t>
  </si>
  <si>
    <t xml:space="preserve">             736.753</t>
  </si>
  <si>
    <t xml:space="preserve">             736.455</t>
  </si>
  <si>
    <t xml:space="preserve">             337.708</t>
  </si>
  <si>
    <t xml:space="preserve">             337.410</t>
  </si>
  <si>
    <t xml:space="preserve">             782.698</t>
  </si>
  <si>
    <t xml:space="preserve">             782.400</t>
  </si>
  <si>
    <t xml:space="preserve">             441.289</t>
  </si>
  <si>
    <t xml:space="preserve">             440.991</t>
  </si>
  <si>
    <t xml:space="preserve">             421.289</t>
  </si>
  <si>
    <t>VIRMAG</t>
  </si>
  <si>
    <t xml:space="preserve">          23.444.978</t>
  </si>
  <si>
    <t>Pas de decision 90001253496-69 DANGOTE CEMENT 00030 VIRBAN 066777 Débit XAF 131.473 XAF 131.175 Rejet possible 26/05/2026 15:36:41 29/05/2026</t>
  </si>
  <si>
    <t>Pas de decision 90001253496-69 DANGOTE CEMENT 00030 VIRBAN 066778 Débit XAF 131.473 XAF 131.175 Rejet possible 26/05/2026 15:37:37 29/05/2026</t>
  </si>
  <si>
    <t>Pas de decision 90001253496-69 DANGOTE CEMENT 00030 VIRBAN 066779 Débit XAF 131.473 XAF 131.175 Rejet possible 26/05/2026 15:38:31 29/05/2026</t>
  </si>
  <si>
    <t>Pas de decision 90001253496-69 DANGOTE CEMENT 00030 VIRBAN 066780 Débit XAF 256.091 XAF 255.793 Rejet possible 26/05/2026 15:39:22 29/05/2026</t>
  </si>
  <si>
    <t>Pas de decision 90001253496-69 DANGOTE CEMENT 00030 VIRBAN 066781 Débit XAF 13.663.340 XAF 13.663.042 Rejet possible 26/05/2026 15:40:15 29/05/2026</t>
  </si>
  <si>
    <t>Pas de decision 90001253496-69 DANGOTE CEMENT 00030 VIRBAN 066782 Débit XAF 736.753 XAF 736.455 Rejet possible 26/05/2026 15:41:53 29/05/2026</t>
  </si>
  <si>
    <t>Pas de decision 90001253496-69 DANGOTE CEMENT 30 VIRBAN 66783 Débit XAF 337.708 XAF 337.410 Rejet possible 26/05/2026 15:50 29/05/2026</t>
  </si>
  <si>
    <t>Pas de decision 90001253496-69 DANGOTE CEMENT 30 VIRBAN 66786 Débit XAF 782.698 XAF 782.400 Rejet possible 26/05/2026 15:58 29/05/2026</t>
  </si>
  <si>
    <t>Pas de decision 90001253496-69 DANGOTE CEMENT 30 VIRBAN 66794 Débit XAF 441.289 XAF 440.991 Rejet possible 26/05/2026 16:03 29/05/2026</t>
  </si>
  <si>
    <t>Pas de decision 90001253496-69 DANGOTE CEMENT 30 VIRBAN 66797 Débit XAF 736.753 XAF 736.455 Rejet possible 26/05/2026 16:05 29/05/2026</t>
  </si>
  <si>
    <t>Pas de decision 90001253496-69 DANGOTE CEMENT 30 VIRBAN 66800 Débit XAF 421.289 XAF 420.991 Rejet possible 26/05/2026 16:06 29/05/2026</t>
  </si>
  <si>
    <t>Pas de decision 90001253496-69 DANGOTE CEMENT 30 VIRMAG 64128 Débit XAF 23.444.978 XAF 23.444.978 Rejet possible 26/05/2026 16:00 29/05/2026</t>
  </si>
  <si>
    <t xml:space="preserve">      -2.494.157.781</t>
  </si>
  <si>
    <t>715</t>
  </si>
  <si>
    <t>600</t>
  </si>
  <si>
    <t>807</t>
  </si>
  <si>
    <t>NJOH MBOUNDJA DAVE GUY</t>
  </si>
  <si>
    <t>DANGOTE CEMENT CAMEROON S.A.</t>
  </si>
  <si>
    <t>714</t>
  </si>
  <si>
    <t>TSOBZE CHOUNA SANDRA</t>
  </si>
  <si>
    <t>SOCIETE OMOA CAMEROUN SA</t>
  </si>
  <si>
    <t>705</t>
  </si>
  <si>
    <t>NDADEM MEZATIO SERGE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</si>
</sst>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0.0%"/>
  </numFmts>
  <fonts count="17" x14ac:knownFonts="1">
    <font>
      <sz val="11"/>
      <color theme="1"/>
      <name val="Consolas"/>
      <family val="2"/>
    </font>
    <font>
      <sz val="11"/>
      <color theme="1"/>
      <name val="Aptos Narrow"/>
      <family val="2"/>
      <scheme val="minor"/>
    </font>
    <font>
      <sz val="11"/>
      <color theme="1"/>
      <name val="Consolas"/>
      <family val="2"/>
    </font>
    <font>
      <sz val="11"/>
      <color theme="1"/>
      <name val="Aptos Narrow"/>
      <family val="2"/>
      <scheme val="minor"/>
    </font>
    <font>
      <sz val="11"/>
      <color rgb="FF990000"/>
      <name val="Aptos Narrow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Aptos Narrow"/>
      <family val="2"/>
      <scheme val="minor"/>
    </font>
    <font>
      <sz val="11"/>
      <name val="Consolas"/>
      <family val="2"/>
    </font>
    <font>
      <sz val="10"/>
      <color theme="1"/>
      <name val="Segoe UI"/>
      <family val="2"/>
    </font>
    <font>
      <sz val="8"/>
      <name val="Consolas"/>
      <family val="2"/>
    </font>
    <font>
      <sz val="11"/>
      <color indexed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Segoe UI"/>
      <family val="2"/>
    </font>
    <font>
      <sz val="11"/>
      <color rgb="FFFF0000"/>
      <name val="Consolas"/>
      <family val="2"/>
    </font>
    <font>
      <b/>
      <sz val="10"/>
      <color theme="9" tint="-0.24997711111789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1"/>
      </bottom>
      <diagonal/>
    </border>
  </borders>
  <cellStyleXfs count="6">
    <xf numFmtId="0" fontId="0" fillId="0" borderId="0"/>
    <xf numFmtId="43" fontId="2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5" fillId="0" borderId="0"/>
    <xf numFmtId="0" fontId="11" fillId="0" borderId="0"/>
  </cellStyleXfs>
  <cellXfs count="88">
    <xf numFmtId="0" fontId="0" fillId="0" borderId="0" xfId="0"/>
    <xf numFmtId="0" fontId="3" fillId="0" borderId="0" xfId="2" applyAlignment="1">
      <alignment vertical="center" wrapText="1"/>
    </xf>
    <xf numFmtId="0" fontId="3" fillId="0" borderId="0" xfId="2" applyAlignment="1">
      <alignment horizontal="center" vertical="center" wrapText="1"/>
    </xf>
    <xf numFmtId="164" fontId="0" fillId="0" borderId="0" xfId="3" applyNumberFormat="1" applyFont="1" applyAlignment="1">
      <alignment vertical="center" wrapText="1"/>
    </xf>
    <xf numFmtId="164" fontId="0" fillId="0" borderId="0" xfId="3" applyNumberFormat="1" applyFont="1" applyAlignment="1">
      <alignment horizontal="center" vertical="center" wrapText="1"/>
    </xf>
    <xf numFmtId="164" fontId="0" fillId="0" borderId="0" xfId="3" applyNumberFormat="1" applyFont="1" applyAlignment="1">
      <alignment horizontal="center" wrapText="1"/>
    </xf>
    <xf numFmtId="3" fontId="3" fillId="0" borderId="0" xfId="2" applyNumberFormat="1" applyAlignment="1">
      <alignment vertical="center" wrapText="1"/>
    </xf>
    <xf numFmtId="3" fontId="4" fillId="0" borderId="0" xfId="2" applyNumberFormat="1" applyFont="1" applyAlignment="1">
      <alignment horizontal="center" vertical="top" wrapText="1"/>
    </xf>
    <xf numFmtId="0" fontId="6" fillId="0" borderId="0" xfId="4" applyFont="1"/>
    <xf numFmtId="14" fontId="3" fillId="0" borderId="0" xfId="2" applyNumberFormat="1" applyAlignment="1">
      <alignment vertical="center"/>
    </xf>
    <xf numFmtId="0" fontId="3" fillId="0" borderId="0" xfId="2" applyAlignment="1">
      <alignment vertical="center"/>
    </xf>
    <xf numFmtId="0" fontId="3" fillId="0" borderId="0" xfId="2" quotePrefix="1" applyAlignment="1">
      <alignment horizontal="center"/>
    </xf>
    <xf numFmtId="0" fontId="3" fillId="0" borderId="0" xfId="2" applyAlignment="1">
      <alignment horizontal="center"/>
    </xf>
    <xf numFmtId="0" fontId="3" fillId="0" borderId="0" xfId="2"/>
    <xf numFmtId="164" fontId="0" fillId="0" borderId="0" xfId="3" applyNumberFormat="1" applyFont="1" applyAlignment="1">
      <alignment vertical="center"/>
    </xf>
    <xf numFmtId="164" fontId="0" fillId="0" borderId="0" xfId="3" applyNumberFormat="1" applyFont="1" applyAlignment="1">
      <alignment horizontal="center" vertical="center"/>
    </xf>
    <xf numFmtId="164" fontId="0" fillId="0" borderId="0" xfId="3" applyNumberFormat="1" applyFont="1" applyAlignment="1">
      <alignment horizontal="center"/>
    </xf>
    <xf numFmtId="3" fontId="3" fillId="0" borderId="0" xfId="2" applyNumberFormat="1" applyAlignment="1">
      <alignment vertical="center"/>
    </xf>
    <xf numFmtId="9" fontId="3" fillId="2" borderId="0" xfId="2" applyNumberFormat="1" applyFill="1" applyAlignment="1">
      <alignment vertical="center"/>
    </xf>
    <xf numFmtId="0" fontId="3" fillId="0" borderId="0" xfId="2" quotePrefix="1" applyAlignment="1">
      <alignment vertical="center"/>
    </xf>
    <xf numFmtId="9" fontId="3" fillId="0" borderId="0" xfId="2" applyNumberFormat="1" applyAlignment="1">
      <alignment vertical="center"/>
    </xf>
    <xf numFmtId="49" fontId="3" fillId="0" borderId="0" xfId="2" applyNumberFormat="1" applyAlignment="1">
      <alignment horizontal="center"/>
    </xf>
    <xf numFmtId="164" fontId="0" fillId="0" borderId="0" xfId="3" applyNumberFormat="1" applyFont="1"/>
    <xf numFmtId="164" fontId="0" fillId="0" borderId="0" xfId="3" applyNumberFormat="1" applyFont="1" applyAlignment="1"/>
    <xf numFmtId="0" fontId="3" fillId="0" borderId="0" xfId="2" quotePrefix="1" applyAlignment="1">
      <alignment horizontal="center" vertical="center"/>
    </xf>
    <xf numFmtId="164" fontId="0" fillId="0" borderId="0" xfId="3" applyNumberFormat="1" applyFont="1" applyFill="1" applyAlignment="1">
      <alignment vertical="center"/>
    </xf>
    <xf numFmtId="164" fontId="0" fillId="0" borderId="0" xfId="3" applyNumberFormat="1" applyFont="1" applyFill="1" applyAlignment="1">
      <alignment horizontal="center" vertical="center"/>
    </xf>
    <xf numFmtId="164" fontId="0" fillId="0" borderId="0" xfId="3" applyNumberFormat="1" applyFont="1" applyFill="1" applyAlignment="1">
      <alignment horizontal="center"/>
    </xf>
    <xf numFmtId="165" fontId="3" fillId="0" borderId="0" xfId="2" applyNumberFormat="1" applyAlignment="1">
      <alignment vertical="center"/>
    </xf>
    <xf numFmtId="3" fontId="3" fillId="0" borderId="0" xfId="2" applyNumberFormat="1"/>
    <xf numFmtId="14" fontId="3" fillId="0" borderId="0" xfId="2" applyNumberFormat="1"/>
    <xf numFmtId="164" fontId="0" fillId="0" borderId="0" xfId="3" applyNumberFormat="1" applyFont="1" applyFill="1" applyAlignment="1"/>
    <xf numFmtId="9" fontId="3" fillId="0" borderId="0" xfId="2" applyNumberFormat="1"/>
    <xf numFmtId="0" fontId="3" fillId="0" borderId="0" xfId="2" applyAlignment="1"/>
    <xf numFmtId="0" fontId="3" fillId="0" borderId="0" xfId="2" applyFill="1" applyAlignment="1"/>
    <xf numFmtId="164" fontId="3" fillId="0" borderId="0" xfId="1" applyNumberFormat="1" applyFont="1" applyAlignment="1"/>
    <xf numFmtId="164" fontId="3" fillId="0" borderId="0" xfId="1" applyNumberFormat="1" applyFont="1" applyAlignment="1">
      <alignment horizontal="center" vertical="center"/>
    </xf>
    <xf numFmtId="164" fontId="3" fillId="0" borderId="0" xfId="1" applyNumberFormat="1" applyFont="1" applyAlignment="1">
      <alignment horizontal="center"/>
    </xf>
    <xf numFmtId="3" fontId="3" fillId="0" borderId="0" xfId="2" applyNumberFormat="1" applyAlignment="1"/>
    <xf numFmtId="9" fontId="3" fillId="0" borderId="0" xfId="2" applyNumberFormat="1" applyAlignment="1"/>
    <xf numFmtId="3" fontId="3" fillId="0" borderId="0" xfId="2" applyNumberFormat="1" applyFill="1" applyAlignment="1">
      <alignment vertical="center"/>
    </xf>
    <xf numFmtId="49" fontId="3" fillId="0" borderId="0" xfId="2" quotePrefix="1" applyNumberFormat="1" applyAlignment="1">
      <alignment horizontal="center"/>
    </xf>
    <xf numFmtId="164" fontId="0" fillId="0" borderId="0" xfId="1" applyNumberFormat="1" applyFont="1" applyAlignment="1"/>
    <xf numFmtId="164" fontId="0" fillId="0" borderId="0" xfId="1" applyNumberFormat="1" applyFont="1" applyAlignment="1">
      <alignment horizontal="center" vertical="center"/>
    </xf>
    <xf numFmtId="164" fontId="0" fillId="0" borderId="0" xfId="1" applyNumberFormat="1" applyFont="1" applyAlignment="1">
      <alignment horizontal="center"/>
    </xf>
    <xf numFmtId="164" fontId="8" fillId="4" borderId="0" xfId="3" applyNumberFormat="1" applyFont="1" applyFill="1" applyAlignment="1"/>
    <xf numFmtId="0" fontId="0" fillId="5" borderId="0" xfId="0" applyFill="1"/>
    <xf numFmtId="14" fontId="9" fillId="0" borderId="0" xfId="0" applyNumberFormat="1" applyFont="1"/>
    <xf numFmtId="49" fontId="9" fillId="0" borderId="0" xfId="0" applyNumberFormat="1" applyFont="1"/>
    <xf numFmtId="0" fontId="0" fillId="3" borderId="0" xfId="0" applyFill="1"/>
    <xf numFmtId="0" fontId="7" fillId="4" borderId="0" xfId="2" applyFont="1" applyFill="1"/>
    <xf numFmtId="0" fontId="7" fillId="4" borderId="0" xfId="2" applyFont="1" applyFill="1" applyAlignment="1">
      <alignment vertical="center" wrapText="1"/>
    </xf>
    <xf numFmtId="0" fontId="0" fillId="3" borderId="1" xfId="0" applyFill="1" applyBorder="1"/>
    <xf numFmtId="0" fontId="3" fillId="0" borderId="0" xfId="2" applyFill="1" applyAlignment="1">
      <alignment horizontal="center"/>
    </xf>
    <xf numFmtId="3" fontId="3" fillId="0" borderId="0" xfId="2" applyNumberFormat="1" applyFill="1" applyAlignment="1"/>
    <xf numFmtId="9" fontId="3" fillId="0" borderId="0" xfId="2" applyNumberFormat="1" applyFill="1" applyAlignment="1"/>
    <xf numFmtId="0" fontId="3" fillId="0" borderId="0" xfId="2" applyNumberFormat="1" applyFill="1" applyAlignment="1">
      <alignment vertical="center"/>
    </xf>
    <xf numFmtId="0" fontId="3" fillId="0" borderId="0" xfId="2" applyNumberFormat="1" applyAlignment="1"/>
    <xf numFmtId="49" fontId="3" fillId="0" borderId="0" xfId="2" applyNumberFormat="1" applyFill="1" applyAlignment="1">
      <alignment horizontal="center"/>
    </xf>
    <xf numFmtId="49" fontId="1" fillId="0" borderId="0" xfId="2" quotePrefix="1" applyNumberFormat="1" applyFont="1" applyAlignment="1">
      <alignment horizontal="center"/>
    </xf>
    <xf numFmtId="0" fontId="3" fillId="0" borderId="0" xfId="2" applyFill="1" applyAlignment="1">
      <alignment vertical="center"/>
    </xf>
    <xf numFmtId="0" fontId="1" fillId="0" borderId="0" xfId="0" applyNumberFormat="1" applyFont="1" applyFill="1" applyBorder="1" applyAlignment="1" applyProtection="1"/>
    <xf numFmtId="49" fontId="1" fillId="0" borderId="0" xfId="0" applyNumberFormat="1" applyFont="1" applyFill="1" applyBorder="1" applyAlignment="1" applyProtection="1">
      <alignment horizontal="center"/>
    </xf>
    <xf numFmtId="49" fontId="1" fillId="0" borderId="0" xfId="0" applyNumberFormat="1" applyFont="1" applyFill="1" applyBorder="1" applyAlignment="1" applyProtection="1"/>
    <xf numFmtId="164" fontId="1" fillId="0" borderId="0" xfId="0" applyNumberFormat="1" applyFont="1" applyFill="1" applyBorder="1" applyAlignment="1" applyProtection="1"/>
    <xf numFmtId="164" fontId="1" fillId="0" borderId="0" xfId="0" applyNumberFormat="1" applyFont="1" applyFill="1" applyBorder="1" applyAlignment="1" applyProtection="1">
      <alignment horizontal="center" vertical="center"/>
    </xf>
    <xf numFmtId="164" fontId="1" fillId="0" borderId="0" xfId="0" applyNumberFormat="1" applyFont="1" applyFill="1" applyBorder="1" applyAlignment="1" applyProtection="1">
      <alignment horizontal="center"/>
    </xf>
    <xf numFmtId="3" fontId="1" fillId="0" borderId="0" xfId="0" applyNumberFormat="1" applyFont="1" applyFill="1" applyBorder="1" applyAlignment="1" applyProtection="1"/>
    <xf numFmtId="0" fontId="12" fillId="0" borderId="0" xfId="2" applyFont="1"/>
    <xf numFmtId="0" fontId="1" fillId="0" borderId="0" xfId="0" applyFont="1" applyFill="1" applyBorder="1" applyAlignment="1" applyProtection="1"/>
    <xf numFmtId="0" fontId="6" fillId="0" borderId="0" xfId="4" applyFont="1" applyAlignment="1"/>
    <xf numFmtId="0" fontId="6" fillId="0" borderId="0" xfId="4" applyFont="1" applyAlignment="1">
      <alignment vertical="center" wrapText="1"/>
    </xf>
    <xf numFmtId="0" fontId="13" fillId="0" borderId="0" xfId="4" applyFont="1" applyAlignment="1"/>
    <xf numFmtId="0" fontId="12" fillId="0" borderId="0" xfId="2" applyFont="1" applyAlignment="1">
      <alignment horizontal="center"/>
    </xf>
    <xf numFmtId="0" fontId="12" fillId="0" borderId="0" xfId="2" applyFont="1" applyAlignment="1">
      <alignment vertical="center"/>
    </xf>
    <xf numFmtId="49" fontId="12" fillId="0" borderId="0" xfId="2" quotePrefix="1" applyNumberFormat="1" applyFont="1" applyAlignment="1">
      <alignment horizontal="center"/>
    </xf>
    <xf numFmtId="49" fontId="14" fillId="0" borderId="0" xfId="0" applyNumberFormat="1" applyFont="1"/>
    <xf numFmtId="0" fontId="12" fillId="0" borderId="0" xfId="2" applyFont="1" applyAlignment="1">
      <alignment vertical="center" wrapText="1"/>
    </xf>
    <xf numFmtId="164" fontId="15" fillId="0" borderId="0" xfId="3" applyNumberFormat="1" applyFont="1" applyAlignment="1">
      <alignment vertical="center"/>
    </xf>
    <xf numFmtId="0" fontId="1" fillId="0" borderId="0" xfId="2" applyFont="1"/>
    <xf numFmtId="14" fontId="0" fillId="0" borderId="0" xfId="0" applyNumberFormat="1"/>
    <xf numFmtId="3" fontId="0" fillId="0" borderId="0" xfId="0" applyNumberFormat="1"/>
    <xf numFmtId="0" fontId="1" fillId="0" borderId="0" xfId="2" applyFont="1" applyAlignment="1">
      <alignment horizontal="center"/>
    </xf>
    <xf numFmtId="49" fontId="1" fillId="0" borderId="0" xfId="2" applyNumberFormat="1" applyFont="1" applyAlignment="1">
      <alignment horizontal="center"/>
    </xf>
    <xf numFmtId="164" fontId="2" fillId="0" borderId="0" xfId="3" applyNumberFormat="1" applyFont="1" applyAlignment="1">
      <alignment vertical="center"/>
    </xf>
    <xf numFmtId="0" fontId="16" fillId="0" borderId="0" xfId="4" applyFont="1" applyAlignment="1"/>
    <xf numFmtId="22" fontId="0" fillId="0" borderId="0" xfId="0" applyNumberFormat="1"/>
    <xf numFmtId="0" fontId="0" fillId="0" borderId="0" xfId="0" applyNumberFormat="1"/>
  </cellXfs>
  <cellStyles count="6">
    <cellStyle name="Milliers" xfId="1" builtinId="3"/>
    <cellStyle name="Milliers 2" xfId="3" xr:uid="{A446FBCF-E28D-49FD-8F69-0555F318FCE4}"/>
    <cellStyle name="Normal" xfId="0" builtinId="0"/>
    <cellStyle name="Normal 2" xfId="2" xr:uid="{8F845D44-14E9-444F-BA28-90AE7C4561CD}"/>
    <cellStyle name="Normal 2 2" xfId="4" xr:uid="{6FDAF677-60A1-4338-A934-F85819BEB027}"/>
    <cellStyle name="Normal 3" xfId="5" xr:uid="{DB8CC7D0-7AB5-4F9D-ADDA-3B0DFC62937D}"/>
  </cellStyles>
  <dxfs count="117"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</dxf>
    <dxf>
      <numFmt numFmtId="0" formatCode="General"/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</dxf>
    <dxf>
      <numFmt numFmtId="3" formatCode="#,##0"/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</dxf>
    <dxf>
      <numFmt numFmtId="13" formatCode="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</dxf>
    <dxf>
      <numFmt numFmtId="3" formatCode="#,##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</dxf>
    <dxf>
      <numFmt numFmtId="3" formatCode="#,##0"/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</dxf>
    <dxf>
      <numFmt numFmtId="3" formatCode="#,##0"/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* #,##0_-;\-* #,##0_-;_-* &quot;-&quot;??_-;_-@_-"/>
      <alignment horizontal="center" vertical="bottom" textRotation="0" wrapText="0" indent="0" justifyLastLine="0" shrinkToFit="0" readingOrder="0"/>
    </dxf>
    <dxf>
      <numFmt numFmtId="164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* #,##0_-;\-* #,##0_-;_-* &quot;-&quot;??_-;_-@_-"/>
    </dxf>
    <dxf>
      <numFmt numFmtId="164" formatCode="_-* #,##0_-;\-* #,##0_-;_-* &quot;-&quot;??_-;_-@_-"/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3" formatCode="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* #,##0_-;\-* #,##0_-;_-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4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* #,##0_-;\-* #,##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* #,##0_-;\-* #,##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4" formatCode="_-* #,##0_-;\-* #,##0_-;_-* &quot;-&quot;??_-;_-@_-"/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30" formatCode="@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16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7C5E1AF3-2B2C-4522-8C88-B89A2F41ADD2}" autoFormatId="16" applyNumberFormats="0" applyBorderFormats="0" applyFontFormats="0" applyPatternFormats="0" applyAlignmentFormats="0" applyWidthHeightFormats="0">
  <queryTableRefresh nextId="27">
    <queryTableFields count="26">
      <queryTableField id="1" name="DATE_OP" tableColumnId="1"/>
      <queryTableField id="2" name="GES" tableColumnId="2"/>
      <queryTableField id="3" name="NOM_GES" tableColumnId="3"/>
      <queryTableField id="4" name="CLI" tableColumnId="4"/>
      <queryTableField id="5" name="NCP" tableColumnId="5"/>
      <queryTableField id="6" name="CLC" tableColumnId="6"/>
      <queryTableField id="7" name="NOM_CLIENT" tableColumnId="7"/>
      <queryTableField id="8" name="AGE" tableColumnId="8"/>
      <queryTableField id="9" name="LIB_OPE" tableColumnId="9"/>
      <queryTableField id="10" name="MONTANT AUTO" tableColumnId="10"/>
      <queryTableField id="11" name="POS  FUSIONNEE CPTE AVANT OP" tableColumnId="11"/>
      <queryTableField id="12" name="MONTANT OPERATION" tableColumnId="12"/>
      <queryTableField id="13" name="MONTANT DEPASSEMENT" tableColumnId="13"/>
      <queryTableField id="14" name="POS  FUSIONNEE CPTE APRES OP" tableColumnId="14"/>
      <queryTableField id="15" name="DEPASSEMENT TOTAL SUR AUTO_x000a_" tableColumnId="15"/>
      <queryTableField id="16" name="% DEPASSEMENT" tableColumnId="16"/>
      <queryTableField id="17" name="DATE_ECH" tableColumnId="17"/>
      <queryTableField id="18" name="REGULARISATION" tableColumnId="18"/>
      <queryTableField id="19" name="MOTIFS DE FORCAGE" tableColumnId="19"/>
      <queryTableField id="20" name="Commission 0,5%" tableColumnId="20"/>
      <queryTableField id="21" name="0,5% du dép" tableColumnId="21"/>
      <queryTableField id="22" name="CLIENTS" tableColumnId="22"/>
      <queryTableField id="23" name="Colonne1" tableColumnId="23"/>
      <queryTableField id="24" name="Colonne2" tableColumnId="24"/>
      <queryTableField id="25" name="Colonne3" tableColumnId="25"/>
      <queryTableField id="26" name="NOTE DE _x000a_SIGNATURE" tableColumnId="2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CF3CFD0-02B4-4E5A-902D-9DD5A70F008B}" name="REQ_NETTOYAGE" displayName="REQ_NETTOYAGE" ref="A1:Z9" tableType="queryTable" totalsRowShown="0">
  <autoFilter ref="A1:Z9" xr:uid="{CCF3CFD0-02B4-4E5A-902D-9DD5A70F008B}"/>
  <tableColumns count="26">
    <tableColumn id="1" xr3:uid="{8BEC6652-CF47-4A11-B9AE-3829BFC7A73A}" uniqueName="1" name="DATE_OP" queryTableFieldId="1" dataDxfId="10"/>
    <tableColumn id="2" xr3:uid="{5AE7CEF4-DD8E-4244-9E0E-C1240A6269E9}" uniqueName="2" name="GES" queryTableFieldId="2" dataDxfId="9"/>
    <tableColumn id="3" xr3:uid="{D711CC8C-1D94-46DB-80C1-4D28F7F81A80}" uniqueName="3" name="NOM_GES" queryTableFieldId="3" dataDxfId="8"/>
    <tableColumn id="4" xr3:uid="{6B5D98BB-E867-44F4-949B-1F1CED6AB6E9}" uniqueName="4" name="CLI" queryTableFieldId="4" dataDxfId="7"/>
    <tableColumn id="5" xr3:uid="{867538C8-29B5-45FA-881F-5992EC53AACC}" uniqueName="5" name="NCP" queryTableFieldId="5" dataDxfId="6"/>
    <tableColumn id="6" xr3:uid="{F8CD73E2-E3BB-41EB-938C-9C915C777DC3}" uniqueName="6" name="CLC" queryTableFieldId="6" dataDxfId="5"/>
    <tableColumn id="7" xr3:uid="{4C949FBE-C4C8-4C49-A17F-9F4B450823DB}" uniqueName="7" name="NOM_CLIENT" queryTableFieldId="7" dataDxfId="4"/>
    <tableColumn id="8" xr3:uid="{DE8878BD-6A34-4E06-B12B-BAC45B1B21D4}" uniqueName="8" name="AGE" queryTableFieldId="8"/>
    <tableColumn id="9" xr3:uid="{9D9952C7-97C3-4BE3-BAC1-4E0304A10D46}" uniqueName="9" name="LIB_OPE" queryTableFieldId="9" dataDxfId="3"/>
    <tableColumn id="10" xr3:uid="{406E04C6-EA79-4A9A-8166-29EFAAA65D24}" uniqueName="10" name="MONTANT AUTO" queryTableFieldId="10"/>
    <tableColumn id="11" xr3:uid="{C01E4731-8CB5-4CF6-8E6C-2CE7CD9740F0}" uniqueName="11" name="POS  FUSIONNEE CPTE AVANT OP" queryTableFieldId="11"/>
    <tableColumn id="12" xr3:uid="{1EF9E3AB-79F8-4080-8A11-CED45A74B0A0}" uniqueName="12" name="MONTANT OPERATION" queryTableFieldId="12"/>
    <tableColumn id="13" xr3:uid="{CCB66F9C-04F7-4768-9338-5085D5E8E893}" uniqueName="13" name="MONTANT DEPASSEMENT" queryTableFieldId="13"/>
    <tableColumn id="14" xr3:uid="{91977E7E-04BF-4B0F-A841-24208B39EF12}" uniqueName="14" name="POS  FUSIONNEE CPTE APRES OP" queryTableFieldId="14"/>
    <tableColumn id="15" xr3:uid="{4E283F4C-39D2-4A01-A81B-1237CA1BA13E}" uniqueName="15" name="DEPASSEMENT TOTAL SUR AUTO_x000a_" queryTableFieldId="15"/>
    <tableColumn id="16" xr3:uid="{D1A12061-0477-4BC5-B812-C21FEB8FFDA1}" uniqueName="16" name="% DEPASSEMENT" queryTableFieldId="16"/>
    <tableColumn id="17" xr3:uid="{91D409DE-0E37-4C6F-9A19-F1A9F3EB4047}" uniqueName="17" name="DATE_ECH" queryTableFieldId="17" dataDxfId="2"/>
    <tableColumn id="18" xr3:uid="{4A544D84-2DEA-40FB-9902-2CBC4141065B}" uniqueName="18" name="REGULARISATION" queryTableFieldId="18" dataDxfId="1"/>
    <tableColumn id="19" xr3:uid="{79B2FA93-F59C-4EC6-A89A-B2CAC0880FA0}" uniqueName="19" name="MOTIFS DE FORCAGE" queryTableFieldId="19"/>
    <tableColumn id="20" xr3:uid="{7E8677D0-8151-4488-B7BA-78055F066AB5}" uniqueName="20" name="Commission 0,5%" queryTableFieldId="20"/>
    <tableColumn id="21" xr3:uid="{A726116F-177C-4DD1-822D-D3D4D9B35574}" uniqueName="21" name="0,5% du dép" queryTableFieldId="21"/>
    <tableColumn id="22" xr3:uid="{F52699EE-9DED-4FE2-A67A-3FA6EF109290}" uniqueName="22" name="CLIENTS" queryTableFieldId="22" dataDxfId="0"/>
    <tableColumn id="23" xr3:uid="{2B501F82-2A2B-49C5-A752-622ED3CDBAE6}" uniqueName="23" name="Colonne1" queryTableFieldId="23"/>
    <tableColumn id="24" xr3:uid="{5FC87F95-BFE4-4230-9275-623DACC3EBA4}" uniqueName="24" name="Colonne2" queryTableFieldId="24"/>
    <tableColumn id="25" xr3:uid="{996C166B-4399-4F6C-8347-4EA6194322E3}" uniqueName="25" name="Colonne3" queryTableFieldId="25"/>
    <tableColumn id="26" xr3:uid="{EE1DB81A-F770-4CCF-A08C-0FD1F626E2AD}" uniqueName="26" name="NOTE DE _x000a_SIGNATURE" queryTableField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2AD698-DB5F-4D22-93D7-2BF3A1D809D1}" name="tblDonnées" displayName="tblDonnées" ref="A1:Z600" totalsRowCount="1" headerRowDxfId="116" dataDxfId="115">
  <autoFilter ref="A1:Z599" xr:uid="{00000000-0009-0000-0100-000002000000}"/>
  <tableColumns count="26">
    <tableColumn id="1" xr3:uid="{E619D569-6C2A-42EF-815A-09938B33E61F}" name="DATE_OP" dataDxfId="114" totalsRowDxfId="113"/>
    <tableColumn id="2" xr3:uid="{AD87B272-D13E-40EB-830E-EE3B07B5541A}" name="GES" dataDxfId="112" totalsRowDxfId="111"/>
    <tableColumn id="3" xr3:uid="{7C79A54E-4EA9-4E7A-9C1A-7689442AF7AD}" name="NOM_GES" dataDxfId="110" totalsRowDxfId="109"/>
    <tableColumn id="4" xr3:uid="{98DEA654-3193-4EBA-8F0D-084C1103A2E3}" name="CLI" dataDxfId="108" totalsRowDxfId="107"/>
    <tableColumn id="5" xr3:uid="{64AEBBB2-2EB6-4F01-90AA-F56C0E2A65A0}" name="NCP" dataDxfId="106" totalsRowDxfId="105" dataCellStyle="Normal 2"/>
    <tableColumn id="6" xr3:uid="{5819DA8B-1F94-4713-BA76-5C1F582514FB}" name="CLC" dataDxfId="104" totalsRowDxfId="103"/>
    <tableColumn id="7" xr3:uid="{E9503CB2-4F72-4ADD-97D4-C95713E1AE6E}" name="NOM_CLIENT" dataDxfId="102" totalsRowDxfId="101"/>
    <tableColumn id="8" xr3:uid="{63C0246D-1513-4E2C-802A-C375BF44BF8C}" name="AGE" dataDxfId="100" totalsRowDxfId="99"/>
    <tableColumn id="10" xr3:uid="{4238118D-EB2B-4AC9-91F3-B41672130C0C}" name="LIB_OPE" dataDxfId="98" totalsRowDxfId="97"/>
    <tableColumn id="11" xr3:uid="{0A3E8680-143C-4BA5-9A15-2F99E8A55366}" name="MONTANT AUTO" dataDxfId="96" totalsRowDxfId="95" dataCellStyle="Milliers"/>
    <tableColumn id="12" xr3:uid="{B6E14D79-C2A3-40F6-93F8-BDD0C931F591}" name="POS  FUSIONNEE CPTE AVANT OP" dataDxfId="94" totalsRowDxfId="93" dataCellStyle="Milliers"/>
    <tableColumn id="18" xr3:uid="{AFC9B2BA-95E3-4B3D-AFE5-F1A2CF0D2E4D}" name="MONTANT OPERATION" dataDxfId="92" totalsRowDxfId="91" dataCellStyle="Milliers"/>
    <tableColumn id="13" xr3:uid="{08F5572E-4DBB-456D-9FE6-6B974C095EDD}" name="MONTANT DEPASSEMENT" dataDxfId="90" totalsRowDxfId="89" dataCellStyle="Normal 2">
      <calculatedColumnFormula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calculatedColumnFormula>
    </tableColumn>
    <tableColumn id="14" xr3:uid="{E0F50D32-2D2F-416A-A0A4-2D4C6AB37FF8}" name="POS  FUSIONNEE CPTE APRES OP" dataDxfId="88" totalsRowDxfId="87" dataCellStyle="Normal 2">
      <calculatedColumnFormula>tblDonnées[[#This Row],[MONTANT OPERATION]]+tblDonnées[[#This Row],[POS  FUSIONNEE CPTE AVANT OP]]</calculatedColumnFormula>
    </tableColumn>
    <tableColumn id="28" xr3:uid="{E62BE624-5C8C-4A2D-9DA2-0F875CA6B532}" name="DEPASSEMENT TOTAL SUR AUTO_x000a_" dataDxfId="86" totalsRowDxfId="85">
      <calculatedColumnFormula>IF(ISBLANK(tblDonnées[[#This Row],[MONTANT AUTO]]), "N/A", ABS(tblDonnées[[#This Row],[POS  FUSIONNEE CPTE APRES OP]])-ABS(tblDonnées[[#This Row],[MONTANT AUTO]]))</calculatedColumnFormula>
    </tableColumn>
    <tableColumn id="27" xr3:uid="{7AA9C5EE-33F7-4BA1-BC8A-6A5E85E22834}" name="% DEPASSEMENT" dataDxfId="84" totalsRowDxfId="83" dataCellStyle="Normal 2">
      <calculatedColumnFormula>tblDonnées[[#This Row],[DEPASSEMENT TOTAL SUR AUTO
]]/-tblDonnées[[#This Row],[MONTANT AUTO]]</calculatedColumnFormula>
    </tableColumn>
    <tableColumn id="15" xr3:uid="{3225F7D0-07BD-4015-9526-8F260E8106CA}" name="DATE_ECH" dataDxfId="82" totalsRowDxfId="81"/>
    <tableColumn id="16" xr3:uid="{361B4CC8-0E88-4E48-9556-43B96F0D9EC6}" name="REGULARISATION" dataDxfId="80" totalsRowDxfId="79"/>
    <tableColumn id="17" xr3:uid="{F55DB5D4-80D1-4766-B690-5F34D031C05A}" name="MOTIFS DE FORCAGE" dataDxfId="78" totalsRowDxfId="77"/>
    <tableColumn id="23" xr3:uid="{74135F81-8D7F-4EF9-9FB5-1212968F5681}" name="Commission 0,5%" dataDxfId="76" totalsRowDxfId="75" dataCellStyle="Normal 2">
      <calculatedColumnFormula>IF(tblDonnées[[#This Row],[0,5% du dép]]&lt;5000,5000,IF(tblDonnées[[#This Row],[0,5% du dép]]&gt;50000,50000,tblDonnées[[#This Row],[0,5% du dép]]))</calculatedColumnFormula>
    </tableColumn>
    <tableColumn id="24" xr3:uid="{3C04D13D-B2E0-4F4C-B0D3-C2C75442BC1B}" name="0,5% du dép" dataDxfId="74" totalsRowDxfId="73" dataCellStyle="Normal 2">
      <calculatedColumnFormula>ABS(tblDonnées[[#This Row],[MONTANT DEPASSEMENT]]*0.005)</calculatedColumnFormula>
    </tableColumn>
    <tableColumn id="21" xr3:uid="{4836FF56-F0EB-4DFB-82D0-AA6D1E92C108}" name="CLIENTS" dataDxfId="72" totalsRowDxfId="71"/>
    <tableColumn id="9" xr3:uid="{23D66495-BBAF-4249-BBA2-79D7BBCF08C1}" name="Colonne1" dataDxfId="70" totalsRowDxfId="69"/>
    <tableColumn id="19" xr3:uid="{4936CF08-09F6-4A16-8CA9-31A5F2B6153B}" name="Colonne2" dataDxfId="68" totalsRowDxfId="67"/>
    <tableColumn id="20" xr3:uid="{56093091-3AD2-4AFE-8D28-CEEB5A13F4B0}" name="Colonne3" dataDxfId="66" totalsRowDxfId="65"/>
    <tableColumn id="22" xr3:uid="{7E107BD1-1400-4047-BAAC-BA8C6405A831}" name="NOTE DE _x000a_SIGNATURE" dataDxfId="64" totalsRowDxfId="63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EC6CA74-3586-4C0F-B63A-3710B4379AD3}" name="Tableau13452729313335374951944325" displayName="Tableau13452729313335374951944325" ref="A1:Y491" totalsRowShown="0" headerRowDxfId="62" dataDxfId="61">
  <autoFilter ref="A1:Y491" xr:uid="{00000000-0009-0000-0100-000002000000}"/>
  <sortState xmlns:xlrd2="http://schemas.microsoft.com/office/spreadsheetml/2017/richdata2" ref="A2:Y178">
    <sortCondition ref="G1:G178"/>
  </sortState>
  <tableColumns count="25">
    <tableColumn id="1" xr3:uid="{0E16A8B5-49F0-4066-A62A-8F6BC50A17F9}" name="DATE_OP" dataDxfId="60" totalsRowDxfId="59"/>
    <tableColumn id="2" xr3:uid="{3A03F3E9-3714-461F-AB04-9601FF829BF5}" name="GES" dataDxfId="58" totalsRowDxfId="57" dataCellStyle="Normal 2"/>
    <tableColumn id="3" xr3:uid="{C57F11DE-1106-444A-B1C0-029CBA881683}" name="NOM_GES" dataDxfId="56" totalsRowDxfId="55" dataCellStyle="Normal 2"/>
    <tableColumn id="4" xr3:uid="{4D585542-B9B6-40BF-9DE5-56481DDE4686}" name="CLI" dataDxfId="54" totalsRowDxfId="53" dataCellStyle="Normal 2"/>
    <tableColumn id="5" xr3:uid="{BB2783A8-09E6-4B88-A56A-B90D907A68FA}" name="NCP" dataDxfId="52" totalsRowDxfId="51" dataCellStyle="Normal 2"/>
    <tableColumn id="6" xr3:uid="{9133C74D-6573-4B59-91B2-6E7AAB4D9E63}" name="CLC" dataDxfId="50" totalsRowDxfId="49" dataCellStyle="Normal 2"/>
    <tableColumn id="7" xr3:uid="{F88586A6-A262-4C22-A8D8-F8CBB61742A6}" name="NOM_CLIENT" dataDxfId="48" totalsRowDxfId="47" dataCellStyle="Normal 2"/>
    <tableColumn id="8" xr3:uid="{4115E7D6-3E23-4F82-9BC3-59021897B9A4}" name="AGE" dataDxfId="46" totalsRowDxfId="45" dataCellStyle="Normal 2"/>
    <tableColumn id="10" xr3:uid="{8FD9F3F9-978F-4795-8765-D9A8DF94A852}" name="LIB_OPE" dataDxfId="44" totalsRowDxfId="43"/>
    <tableColumn id="11" xr3:uid="{5807DBA9-F763-475F-89A5-199493E3CBA8}" name="MONTANT AUTO" dataDxfId="42" totalsRowDxfId="41" dataCellStyle="Milliers"/>
    <tableColumn id="12" xr3:uid="{64ACF1FF-2BEA-4274-A42F-D2BAA16C15CD}" name="POS  FUSIONNEE CPTE AVANT OP" dataDxfId="40" totalsRowDxfId="39" dataCellStyle="Milliers"/>
    <tableColumn id="18" xr3:uid="{D35934A2-9C92-4066-84E8-6DB5D24D6F8C}" name="MONTANT OPERATION" dataDxfId="38" totalsRowDxfId="37" dataCellStyle="Milliers"/>
    <tableColumn id="13" xr3:uid="{31B4B39D-124F-44BE-9BDF-BE81B66FAE52}" name="MONTANT DEPASSEMENT" dataDxfId="36" totalsRowDxfId="35">
      <calculatedColumnFormula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calculatedColumnFormula>
    </tableColumn>
    <tableColumn id="14" xr3:uid="{3E787F93-28A4-433C-BEFE-E5E4F299ED48}" name="POS  FUSIONNEE CPTE APRES OP" dataDxfId="34" totalsRowDxfId="33">
      <calculatedColumnFormula>Tableau13452729313335374951944325[[#This Row],[MONTANT OPERATION]]+Tableau13452729313335374951944325[[#This Row],[POS  FUSIONNEE CPTE AVANT OP]]</calculatedColumnFormula>
    </tableColumn>
    <tableColumn id="28" xr3:uid="{E218A755-31CC-4D7F-9AA1-71F6161C6D38}" name="DEPASSEMENT TOTAL SUR AUTO_x000a_" dataDxfId="32" totalsRowDxfId="31">
      <calculatedColumnFormula>IF(ISBLANK(Tableau13452729313335374951944325[[#This Row],[MONTANT AUTO]]), "N/A", ABS(Tableau13452729313335374951944325[[#This Row],[POS  FUSIONNEE CPTE APRES OP]])-ABS(Tableau13452729313335374951944325[[#This Row],[MONTANT AUTO]]))</calculatedColumnFormula>
    </tableColumn>
    <tableColumn id="27" xr3:uid="{6ABD0736-B930-474F-88E7-8E34C5461F0C}" name="% DEPASSEMENT" dataDxfId="30" totalsRowDxfId="29">
      <calculatedColumnFormula>Tableau13452729313335374951944325[[#This Row],[DEPASSEMENT TOTAL SUR AUTO
]]/-Tableau13452729313335374951944325[[#This Row],[MONTANT AUTO]]</calculatedColumnFormula>
    </tableColumn>
    <tableColumn id="15" xr3:uid="{60D5CAB0-B065-453C-90CD-AC6572B9CFC3}" name="DATE_ECH" dataDxfId="28" totalsRowDxfId="27"/>
    <tableColumn id="16" xr3:uid="{F4DC55B5-2C4C-48B1-B4D4-58FB2059A254}" name="REGULARISATION" dataDxfId="26" totalsRowDxfId="25"/>
    <tableColumn id="17" xr3:uid="{F2F44FE8-9EFC-42FF-B94C-74F9CED21114}" name="MOTIFS DE FORCAGE" dataDxfId="24" totalsRowDxfId="23"/>
    <tableColumn id="23" xr3:uid="{80DDD244-93B5-4E00-A58D-526BF5D7CEED}" name="Commission 0,5%" dataDxfId="22" totalsRowDxfId="21">
      <calculatedColumnFormula>IF(Tableau13452729313335374951944325[[#This Row],[0,5% du dép]]&lt;5000,5000,IF(Tableau13452729313335374951944325[[#This Row],[0,5% du dép]]&gt;50000,50000,Tableau13452729313335374951944325[[#This Row],[0,5% du dép]]))</calculatedColumnFormula>
    </tableColumn>
    <tableColumn id="24" xr3:uid="{E2CD2A85-E99D-4DB6-BF25-C85B7B456127}" name="0,5% du dép" dataDxfId="20" totalsRowDxfId="19">
      <calculatedColumnFormula>ABS(Tableau13452729313335374951944325[[#This Row],[MONTANT DEPASSEMENT]]*0.005)</calculatedColumnFormula>
    </tableColumn>
    <tableColumn id="21" xr3:uid="{E4B2E4D3-C000-44E7-A0FA-4B39690FCA4F}" name="CLIENTS" dataDxfId="18" totalsRowDxfId="17"/>
    <tableColumn id="9" xr3:uid="{BC617AC5-137C-4B8D-8233-FF8F949FC56B}" name="Colonne1" dataDxfId="16" totalsRowDxfId="15"/>
    <tableColumn id="19" xr3:uid="{5C71DBF0-71A9-4B11-864E-FD026E037F67}" name="Colonne2" dataDxfId="14" totalsRowDxfId="13"/>
    <tableColumn id="20" xr3:uid="{5254F65E-BBFA-4F21-A697-59C38E611877}" name="Colonne3" dataDxfId="12" totalsRowDxfId="11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E5D0A-8F18-421D-909F-43C2DD47471E}">
  <sheetPr codeName="Feuil3"/>
  <dimension ref="A1:Z9"/>
  <sheetViews>
    <sheetView tabSelected="1" workbookViewId="0">
      <selection activeCell="I17" sqref="I17"/>
    </sheetView>
  </sheetViews>
  <sheetFormatPr baseColWidth="10" defaultRowHeight="15" x14ac:dyDescent="0.25"/>
  <cols>
    <col min="1" max="1" width="10.875" bestFit="1" customWidth="1"/>
    <col min="2" max="2" width="5.875" bestFit="1" customWidth="1"/>
    <col min="3" max="3" width="24.125" bestFit="1" customWidth="1"/>
    <col min="4" max="4" width="8.875" bestFit="1" customWidth="1"/>
    <col min="5" max="5" width="12.875" bestFit="1" customWidth="1"/>
    <col min="6" max="6" width="5.875" bestFit="1" customWidth="1"/>
    <col min="7" max="7" width="31.375" bestFit="1" customWidth="1"/>
    <col min="8" max="8" width="5.875" bestFit="1" customWidth="1"/>
    <col min="9" max="9" width="18" bestFit="1" customWidth="1"/>
    <col min="10" max="10" width="14.875" bestFit="1" customWidth="1"/>
    <col min="11" max="11" width="31.25" bestFit="1" customWidth="1"/>
    <col min="12" max="12" width="20" bestFit="1" customWidth="1"/>
    <col min="13" max="13" width="22" bestFit="1" customWidth="1"/>
    <col min="14" max="14" width="31.25" bestFit="1" customWidth="1"/>
    <col min="15" max="15" width="30.25" bestFit="1" customWidth="1"/>
    <col min="16" max="16" width="15.875" bestFit="1" customWidth="1"/>
    <col min="17" max="17" width="10.875" bestFit="1" customWidth="1"/>
    <col min="18" max="18" width="16.875" bestFit="1" customWidth="1"/>
    <col min="19" max="19" width="20" bestFit="1" customWidth="1"/>
    <col min="20" max="20" width="18" bestFit="1" customWidth="1"/>
    <col min="21" max="21" width="13.875" bestFit="1" customWidth="1"/>
    <col min="22" max="22" width="9.875" bestFit="1" customWidth="1"/>
    <col min="23" max="25" width="10.875" bestFit="1" customWidth="1"/>
    <col min="26" max="26" width="21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694</v>
      </c>
    </row>
    <row r="2" spans="1:26" x14ac:dyDescent="0.25">
      <c r="A2" s="80">
        <v>46168</v>
      </c>
      <c r="B2" s="87" t="s">
        <v>751</v>
      </c>
      <c r="C2" s="87" t="s">
        <v>693</v>
      </c>
      <c r="D2" s="87" t="s">
        <v>350</v>
      </c>
      <c r="E2" s="87" t="s">
        <v>692</v>
      </c>
      <c r="F2" s="87" t="s">
        <v>229</v>
      </c>
      <c r="G2" s="87" t="s">
        <v>691</v>
      </c>
      <c r="H2" t="s">
        <v>31</v>
      </c>
      <c r="I2" s="87"/>
      <c r="J2">
        <v>-500000000</v>
      </c>
      <c r="M2">
        <v>500000000</v>
      </c>
      <c r="N2">
        <v>0</v>
      </c>
      <c r="O2">
        <v>-500000000</v>
      </c>
      <c r="P2">
        <v>-1</v>
      </c>
      <c r="Q2" s="80">
        <v>46386</v>
      </c>
      <c r="R2" s="87"/>
      <c r="T2">
        <v>50000</v>
      </c>
      <c r="U2">
        <v>2500000</v>
      </c>
      <c r="V2" s="87"/>
      <c r="Z2" t="s">
        <v>695</v>
      </c>
    </row>
    <row r="3" spans="1:26" x14ac:dyDescent="0.25">
      <c r="A3" s="80"/>
      <c r="B3" s="87" t="s">
        <v>752</v>
      </c>
      <c r="C3" s="87" t="s">
        <v>698</v>
      </c>
      <c r="D3" s="87" t="s">
        <v>699</v>
      </c>
      <c r="E3" s="87" t="s">
        <v>696</v>
      </c>
      <c r="F3" s="87" t="s">
        <v>211</v>
      </c>
      <c r="G3" s="87" t="s">
        <v>697</v>
      </c>
      <c r="H3" t="s">
        <v>27</v>
      </c>
      <c r="I3" s="87" t="s">
        <v>112</v>
      </c>
      <c r="K3">
        <v>-8461156</v>
      </c>
      <c r="L3">
        <v>-1000000</v>
      </c>
      <c r="M3">
        <v>1000000</v>
      </c>
      <c r="N3">
        <v>-9461156</v>
      </c>
      <c r="O3" t="s">
        <v>78</v>
      </c>
      <c r="Q3" s="80"/>
      <c r="R3" s="87"/>
      <c r="S3" t="s">
        <v>32</v>
      </c>
      <c r="T3">
        <v>5000</v>
      </c>
      <c r="U3">
        <v>5000</v>
      </c>
      <c r="V3" s="87"/>
    </row>
    <row r="4" spans="1:26" x14ac:dyDescent="0.25">
      <c r="A4" s="80">
        <v>46168</v>
      </c>
      <c r="B4" s="87" t="s">
        <v>753</v>
      </c>
      <c r="C4" s="87" t="s">
        <v>754</v>
      </c>
      <c r="D4" s="87" t="s">
        <v>190</v>
      </c>
      <c r="E4" s="87" t="s">
        <v>212</v>
      </c>
      <c r="F4" s="87" t="s">
        <v>92</v>
      </c>
      <c r="G4" s="87" t="s">
        <v>755</v>
      </c>
      <c r="H4" t="s">
        <v>31</v>
      </c>
      <c r="I4" s="87" t="s">
        <v>710</v>
      </c>
      <c r="J4">
        <v>-6000000000</v>
      </c>
      <c r="K4">
        <v>-6422101357</v>
      </c>
      <c r="L4">
        <v>-2649888</v>
      </c>
      <c r="M4">
        <v>2649888</v>
      </c>
      <c r="N4">
        <v>-6424751245</v>
      </c>
      <c r="O4">
        <v>424751245</v>
      </c>
      <c r="P4">
        <v>7.0791874166666671E-2</v>
      </c>
      <c r="Q4" s="80"/>
      <c r="R4" s="87"/>
      <c r="T4">
        <v>13249.44</v>
      </c>
      <c r="U4">
        <v>13249.44</v>
      </c>
      <c r="V4" s="87"/>
    </row>
    <row r="5" spans="1:26" x14ac:dyDescent="0.25">
      <c r="A5" s="80">
        <v>46168</v>
      </c>
      <c r="B5" s="87" t="s">
        <v>753</v>
      </c>
      <c r="C5" s="87" t="s">
        <v>754</v>
      </c>
      <c r="D5" s="87" t="s">
        <v>190</v>
      </c>
      <c r="E5" s="87" t="s">
        <v>212</v>
      </c>
      <c r="F5" s="87" t="s">
        <v>92</v>
      </c>
      <c r="G5" s="87" t="s">
        <v>755</v>
      </c>
      <c r="H5" t="s">
        <v>31</v>
      </c>
      <c r="I5" s="87" t="s">
        <v>710</v>
      </c>
      <c r="J5">
        <v>-6000000000</v>
      </c>
      <c r="K5">
        <v>-6424751245</v>
      </c>
      <c r="L5">
        <v>-6000000</v>
      </c>
      <c r="M5">
        <v>6000000</v>
      </c>
      <c r="N5">
        <v>-6430751245</v>
      </c>
      <c r="O5">
        <v>430751245</v>
      </c>
      <c r="P5">
        <v>7.1791874166666672E-2</v>
      </c>
      <c r="Q5" s="80"/>
      <c r="R5" s="87"/>
      <c r="T5">
        <v>30000</v>
      </c>
      <c r="U5">
        <v>30000</v>
      </c>
      <c r="V5" s="87"/>
    </row>
    <row r="6" spans="1:26" x14ac:dyDescent="0.25">
      <c r="A6" s="80">
        <v>46168</v>
      </c>
      <c r="B6" s="87" t="s">
        <v>756</v>
      </c>
      <c r="C6" s="87" t="s">
        <v>757</v>
      </c>
      <c r="D6" s="87" t="s">
        <v>157</v>
      </c>
      <c r="E6" s="87" t="s">
        <v>181</v>
      </c>
      <c r="F6" s="87" t="s">
        <v>158</v>
      </c>
      <c r="G6" s="87" t="s">
        <v>758</v>
      </c>
      <c r="H6" t="s">
        <v>27</v>
      </c>
      <c r="I6" s="87" t="s">
        <v>711</v>
      </c>
      <c r="J6">
        <v>-250000000</v>
      </c>
      <c r="K6">
        <v>-243060734</v>
      </c>
      <c r="L6">
        <v>-26788299</v>
      </c>
      <c r="M6">
        <v>19849033</v>
      </c>
      <c r="N6">
        <v>-269849033</v>
      </c>
      <c r="O6">
        <v>19849033</v>
      </c>
      <c r="P6">
        <v>7.9396131999999994E-2</v>
      </c>
      <c r="Q6" s="80"/>
      <c r="R6" s="87"/>
      <c r="T6">
        <v>50000</v>
      </c>
      <c r="U6">
        <v>99245.165000000008</v>
      </c>
      <c r="V6" s="87"/>
      <c r="Z6" t="s">
        <v>712</v>
      </c>
    </row>
    <row r="7" spans="1:26" x14ac:dyDescent="0.25">
      <c r="A7" s="80">
        <v>46087</v>
      </c>
      <c r="B7" s="87" t="s">
        <v>753</v>
      </c>
      <c r="C7" s="87" t="s">
        <v>754</v>
      </c>
      <c r="D7" s="87" t="s">
        <v>190</v>
      </c>
      <c r="E7" s="87" t="s">
        <v>212</v>
      </c>
      <c r="F7" s="87" t="s">
        <v>92</v>
      </c>
      <c r="G7" s="87" t="s">
        <v>755</v>
      </c>
      <c r="H7" t="s">
        <v>31</v>
      </c>
      <c r="I7" s="87"/>
      <c r="M7">
        <v>0</v>
      </c>
      <c r="N7">
        <v>0</v>
      </c>
      <c r="O7" t="s">
        <v>78</v>
      </c>
      <c r="Q7" s="80"/>
      <c r="R7" s="87"/>
      <c r="T7">
        <v>5000</v>
      </c>
      <c r="U7">
        <v>0</v>
      </c>
      <c r="V7" s="87"/>
    </row>
    <row r="8" spans="1:26" x14ac:dyDescent="0.25">
      <c r="A8" s="80">
        <v>46087</v>
      </c>
      <c r="B8" s="87" t="s">
        <v>759</v>
      </c>
      <c r="C8" s="87" t="s">
        <v>760</v>
      </c>
      <c r="D8" s="87" t="s">
        <v>161</v>
      </c>
      <c r="E8" s="87" t="s">
        <v>255</v>
      </c>
      <c r="F8" s="87" t="s">
        <v>256</v>
      </c>
      <c r="G8" s="87" t="s">
        <v>434</v>
      </c>
      <c r="H8" t="s">
        <v>162</v>
      </c>
      <c r="I8" s="87"/>
      <c r="M8">
        <v>0</v>
      </c>
      <c r="N8">
        <v>0</v>
      </c>
      <c r="O8" t="s">
        <v>78</v>
      </c>
      <c r="Q8" s="80"/>
      <c r="R8" s="87"/>
      <c r="T8">
        <v>5000</v>
      </c>
      <c r="U8">
        <v>0</v>
      </c>
      <c r="V8" s="87"/>
    </row>
    <row r="9" spans="1:26" x14ac:dyDescent="0.25">
      <c r="A9" s="80">
        <v>46087</v>
      </c>
      <c r="B9" s="87" t="s">
        <v>751</v>
      </c>
      <c r="C9" s="87" t="s">
        <v>693</v>
      </c>
      <c r="D9" s="87" t="s">
        <v>350</v>
      </c>
      <c r="E9" s="87" t="s">
        <v>351</v>
      </c>
      <c r="F9" s="87" t="s">
        <v>229</v>
      </c>
      <c r="G9" s="87" t="s">
        <v>691</v>
      </c>
      <c r="H9" t="s">
        <v>31</v>
      </c>
      <c r="I9" s="87"/>
      <c r="M9">
        <v>0</v>
      </c>
      <c r="N9">
        <v>0</v>
      </c>
      <c r="O9" t="s">
        <v>78</v>
      </c>
      <c r="Q9" s="80"/>
      <c r="R9" s="87"/>
      <c r="T9">
        <v>5000</v>
      </c>
      <c r="U9">
        <v>0</v>
      </c>
      <c r="V9" s="87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D07FF-DD62-4768-9667-70197EA9A8C8}">
  <sheetPr codeName="Feuil1"/>
  <dimension ref="A1:AA600"/>
  <sheetViews>
    <sheetView showGridLines="0" zoomScale="80" zoomScaleNormal="80" zoomScaleSheetLayoutView="85" workbookViewId="0">
      <pane ySplit="1" topLeftCell="A2" activePane="bottomLeft" state="frozen"/>
      <selection pane="bottomLeft" activeCell="F19" sqref="F19"/>
    </sheetView>
  </sheetViews>
  <sheetFormatPr baseColWidth="10" defaultRowHeight="15" x14ac:dyDescent="0.25"/>
  <cols>
    <col min="1" max="1" width="11" style="13"/>
    <col min="2" max="2" width="5.125" style="13" bestFit="1" customWidth="1"/>
    <col min="3" max="3" width="10.875" style="13" bestFit="1" customWidth="1"/>
    <col min="4" max="4" width="11" style="12"/>
    <col min="5" max="5" width="13.375" style="12" customWidth="1"/>
    <col min="6" max="6" width="10.5" style="12" bestFit="1" customWidth="1"/>
    <col min="7" max="7" width="27.25" style="13" bestFit="1" customWidth="1"/>
    <col min="8" max="8" width="6.125" style="13" customWidth="1"/>
    <col min="9" max="9" width="27.625" style="13" customWidth="1"/>
    <col min="10" max="10" width="17.75" style="22" bestFit="1" customWidth="1"/>
    <col min="11" max="11" width="17.625" style="15" bestFit="1" customWidth="1"/>
    <col min="12" max="12" width="14.625" style="16" customWidth="1"/>
    <col min="13" max="13" width="12.125" style="29" bestFit="1" customWidth="1"/>
    <col min="14" max="14" width="13.75" style="29" customWidth="1"/>
    <col min="15" max="15" width="14" style="29" customWidth="1"/>
    <col min="16" max="16" width="13.125" style="29" customWidth="1"/>
    <col min="17" max="17" width="10.625" style="13" customWidth="1"/>
    <col min="18" max="18" width="20.125" style="13" customWidth="1"/>
    <col min="19" max="19" width="18.875" style="13" customWidth="1"/>
    <col min="20" max="20" width="10.75" style="29" customWidth="1"/>
    <col min="21" max="21" width="10.75" style="13" customWidth="1"/>
    <col min="22" max="22" width="11" style="13"/>
    <col min="23" max="23" width="0" style="13" hidden="1" customWidth="1"/>
    <col min="24" max="24" width="21.25" style="13" hidden="1" customWidth="1"/>
    <col min="25" max="25" width="8.125" style="13" hidden="1" customWidth="1"/>
    <col min="26" max="26" width="10.875" style="13" customWidth="1"/>
    <col min="27" max="16384" width="11" style="13"/>
  </cols>
  <sheetData>
    <row r="1" spans="1:27" s="1" customFormat="1" ht="50.25" customHeight="1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6" t="s">
        <v>12</v>
      </c>
      <c r="N1" s="6" t="s">
        <v>13</v>
      </c>
      <c r="O1" s="7" t="s">
        <v>14</v>
      </c>
      <c r="P1" s="6" t="s">
        <v>15</v>
      </c>
      <c r="Q1" s="1" t="s">
        <v>16</v>
      </c>
      <c r="R1" s="1" t="s">
        <v>17</v>
      </c>
      <c r="S1" s="1" t="s">
        <v>18</v>
      </c>
      <c r="T1" s="6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71" t="s">
        <v>694</v>
      </c>
      <c r="AA1" s="8"/>
    </row>
    <row r="2" spans="1:27" s="10" customFormat="1" x14ac:dyDescent="0.25">
      <c r="A2" s="9">
        <v>46168</v>
      </c>
      <c r="B2" s="73">
        <v>715</v>
      </c>
      <c r="C2" s="74" t="s">
        <v>693</v>
      </c>
      <c r="D2" s="75" t="s">
        <v>350</v>
      </c>
      <c r="E2" s="76" t="s">
        <v>692</v>
      </c>
      <c r="F2" s="75" t="s">
        <v>229</v>
      </c>
      <c r="G2" s="68" t="s">
        <v>691</v>
      </c>
      <c r="H2" s="75" t="s">
        <v>31</v>
      </c>
      <c r="I2" s="77"/>
      <c r="J2" s="78">
        <v>-500000000</v>
      </c>
      <c r="K2" s="15"/>
      <c r="L2"/>
      <c r="M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500000000</v>
      </c>
      <c r="N2" s="38">
        <f>tblDonnées[[#This Row],[MONTANT OPERATION]]+tblDonnées[[#This Row],[POS  FUSIONNEE CPTE AVANT OP]]</f>
        <v>0</v>
      </c>
      <c r="O2" s="17">
        <f>IF(ISBLANK(tblDonnées[[#This Row],[MONTANT AUTO]]), "N/A", ABS(tblDonnées[[#This Row],[POS  FUSIONNEE CPTE APRES OP]])-ABS(tblDonnées[[#This Row],[MONTANT AUTO]]))</f>
        <v>-500000000</v>
      </c>
      <c r="P2" s="39">
        <f>tblDonnées[[#This Row],[DEPASSEMENT TOTAL SUR AUTO
]]/-tblDonnées[[#This Row],[MONTANT AUTO]]</f>
        <v>-1</v>
      </c>
      <c r="Q2" s="9">
        <v>46386</v>
      </c>
      <c r="T2" s="17">
        <f>IF(tblDonnées[[#This Row],[0,5% du dép]]&lt;5000,5000,IF(tblDonnées[[#This Row],[0,5% du dép]]&gt;50000,50000,tblDonnées[[#This Row],[0,5% du dép]]))</f>
        <v>50000</v>
      </c>
      <c r="U2" s="10">
        <f>ABS(tblDonnées[[#This Row],[MONTANT DEPASSEMENT]]*0.005)</f>
        <v>2500000</v>
      </c>
      <c r="Z2" s="72" t="s">
        <v>695</v>
      </c>
      <c r="AA2" s="8"/>
    </row>
    <row r="3" spans="1:27" s="10" customFormat="1" x14ac:dyDescent="0.25">
      <c r="A3" s="9"/>
      <c r="B3" s="12">
        <v>600</v>
      </c>
      <c r="C3" s="79" t="s">
        <v>698</v>
      </c>
      <c r="D3" s="59" t="s">
        <v>699</v>
      </c>
      <c r="E3" s="48" t="s">
        <v>696</v>
      </c>
      <c r="F3" s="59" t="s">
        <v>211</v>
      </c>
      <c r="G3" s="60" t="s">
        <v>697</v>
      </c>
      <c r="H3" s="59" t="s">
        <v>27</v>
      </c>
      <c r="I3" s="10" t="s">
        <v>112</v>
      </c>
      <c r="J3" s="14"/>
      <c r="K3" s="15">
        <v>-8461156</v>
      </c>
      <c r="L3" s="16">
        <v>-1000000</v>
      </c>
      <c r="M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1000000</v>
      </c>
      <c r="N3" s="38">
        <f>tblDonnées[[#This Row],[MONTANT OPERATION]]+tblDonnées[[#This Row],[POS  FUSIONNEE CPTE AVANT OP]]</f>
        <v>-9461156</v>
      </c>
      <c r="O3" s="17" t="str">
        <f>IF(ISBLANK(tblDonnées[[#This Row],[MONTANT AUTO]]), "N/A", ABS(tblDonnées[[#This Row],[POS  FUSIONNEE CPTE APRES OP]])-ABS(tblDonnées[[#This Row],[MONTANT AUTO]]))</f>
        <v>N/A</v>
      </c>
      <c r="P3" s="39" t="e">
        <f>tblDonnées[[#This Row],[DEPASSEMENT TOTAL SUR AUTO
]]/-tblDonnées[[#This Row],[MONTANT AUTO]]</f>
        <v>#VALUE!</v>
      </c>
      <c r="Q3" s="9"/>
      <c r="S3" s="10" t="s">
        <v>32</v>
      </c>
      <c r="T3" s="17">
        <f>IF(tblDonnées[[#This Row],[0,5% du dép]]&lt;5000,5000,IF(tblDonnées[[#This Row],[0,5% du dép]]&gt;50000,50000,tblDonnées[[#This Row],[0,5% du dép]]))</f>
        <v>5000</v>
      </c>
      <c r="U3" s="10">
        <f>ABS(tblDonnées[[#This Row],[MONTANT DEPASSEMENT]]*0.005)</f>
        <v>5000</v>
      </c>
      <c r="Z3" s="70"/>
      <c r="AA3" s="8"/>
    </row>
    <row r="4" spans="1:27" s="10" customFormat="1" x14ac:dyDescent="0.25">
      <c r="A4" s="9" t="s">
        <v>709</v>
      </c>
      <c r="B4" s="12">
        <v>807</v>
      </c>
      <c r="C4" s="13" t="s">
        <v>442</v>
      </c>
      <c r="D4" s="41" t="s">
        <v>190</v>
      </c>
      <c r="E4" s="48" t="s">
        <v>212</v>
      </c>
      <c r="F4" s="21" t="s">
        <v>92</v>
      </c>
      <c r="G4" s="13" t="s">
        <v>443</v>
      </c>
      <c r="H4" s="21" t="s">
        <v>31</v>
      </c>
      <c r="I4" s="1" t="s">
        <v>710</v>
      </c>
      <c r="J4" s="14">
        <v>-6000000000</v>
      </c>
      <c r="K4" s="15">
        <v>-6422101357</v>
      </c>
      <c r="L4">
        <v>-2649888</v>
      </c>
      <c r="M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2649888</v>
      </c>
      <c r="N4" s="38">
        <f>tblDonnées[[#This Row],[MONTANT OPERATION]]+tblDonnées[[#This Row],[POS  FUSIONNEE CPTE AVANT OP]]</f>
        <v>-6424751245</v>
      </c>
      <c r="O4" s="17">
        <f>IF(ISBLANK(tblDonnées[[#This Row],[MONTANT AUTO]]), "N/A", ABS(tblDonnées[[#This Row],[POS  FUSIONNEE CPTE APRES OP]])-ABS(tblDonnées[[#This Row],[MONTANT AUTO]]))</f>
        <v>424751245</v>
      </c>
      <c r="P4" s="39">
        <f>tblDonnées[[#This Row],[DEPASSEMENT TOTAL SUR AUTO
]]/-tblDonnées[[#This Row],[MONTANT AUTO]]</f>
        <v>7.0791874166666671E-2</v>
      </c>
      <c r="Q4" s="9"/>
      <c r="T4" s="17">
        <f>IF(tblDonnées[[#This Row],[0,5% du dép]]&lt;5000,5000,IF(tblDonnées[[#This Row],[0,5% du dép]]&gt;50000,50000,tblDonnées[[#This Row],[0,5% du dép]]))</f>
        <v>13249.44</v>
      </c>
      <c r="U4" s="10">
        <f>ABS(tblDonnées[[#This Row],[MONTANT DEPASSEMENT]]*0.005)</f>
        <v>13249.44</v>
      </c>
      <c r="Z4" s="70"/>
      <c r="AA4" s="8"/>
    </row>
    <row r="5" spans="1:27" s="10" customFormat="1" x14ac:dyDescent="0.25">
      <c r="A5" s="9" t="s">
        <v>709</v>
      </c>
      <c r="B5" s="12">
        <v>807</v>
      </c>
      <c r="C5" s="13" t="s">
        <v>442</v>
      </c>
      <c r="D5" s="41" t="s">
        <v>190</v>
      </c>
      <c r="E5" s="48" t="s">
        <v>212</v>
      </c>
      <c r="F5" s="21" t="s">
        <v>92</v>
      </c>
      <c r="G5" s="13" t="s">
        <v>443</v>
      </c>
      <c r="H5" s="21" t="s">
        <v>31</v>
      </c>
      <c r="I5" s="13" t="s">
        <v>710</v>
      </c>
      <c r="J5" s="14">
        <v>-6000000000</v>
      </c>
      <c r="K5" s="15">
        <f>N4</f>
        <v>-6424751245</v>
      </c>
      <c r="L5" s="22">
        <v>-6000000</v>
      </c>
      <c r="M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6000000</v>
      </c>
      <c r="N5" s="38">
        <f>tblDonnées[[#This Row],[MONTANT OPERATION]]+tblDonnées[[#This Row],[POS  FUSIONNEE CPTE AVANT OP]]</f>
        <v>-6430751245</v>
      </c>
      <c r="O5" s="17">
        <f>IF(ISBLANK(tblDonnées[[#This Row],[MONTANT AUTO]]), "N/A", ABS(tblDonnées[[#This Row],[POS  FUSIONNEE CPTE APRES OP]])-ABS(tblDonnées[[#This Row],[MONTANT AUTO]]))</f>
        <v>430751245</v>
      </c>
      <c r="P5" s="39">
        <f>tblDonnées[[#This Row],[DEPASSEMENT TOTAL SUR AUTO
]]/-tblDonnées[[#This Row],[MONTANT AUTO]]</f>
        <v>7.1791874166666672E-2</v>
      </c>
      <c r="T5" s="17">
        <f>IF(tblDonnées[[#This Row],[0,5% du dép]]&lt;5000,5000,IF(tblDonnées[[#This Row],[0,5% du dép]]&gt;50000,50000,tblDonnées[[#This Row],[0,5% du dép]]))</f>
        <v>30000</v>
      </c>
      <c r="U5" s="10">
        <f>ABS(tblDonnées[[#This Row],[MONTANT DEPASSEMENT]]*0.005)</f>
        <v>30000</v>
      </c>
      <c r="Z5" s="70"/>
      <c r="AA5" s="8"/>
    </row>
    <row r="6" spans="1:27" s="10" customFormat="1" x14ac:dyDescent="0.25">
      <c r="A6" s="9" t="s">
        <v>709</v>
      </c>
      <c r="B6" s="82">
        <v>714</v>
      </c>
      <c r="C6" s="79" t="s">
        <v>435</v>
      </c>
      <c r="D6" s="59" t="s">
        <v>157</v>
      </c>
      <c r="E6" s="48" t="s">
        <v>181</v>
      </c>
      <c r="F6" s="83" t="s">
        <v>158</v>
      </c>
      <c r="G6" s="79" t="s">
        <v>436</v>
      </c>
      <c r="H6" s="83" t="s">
        <v>27</v>
      </c>
      <c r="I6" s="79" t="s">
        <v>711</v>
      </c>
      <c r="J6" s="84">
        <v>-250000000</v>
      </c>
      <c r="K6" s="15">
        <v>-243060734</v>
      </c>
      <c r="L6" s="22">
        <v>-26788299</v>
      </c>
      <c r="M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19849033</v>
      </c>
      <c r="N6" s="38">
        <f>tblDonnées[[#This Row],[MONTANT OPERATION]]+tblDonnées[[#This Row],[POS  FUSIONNEE CPTE AVANT OP]]</f>
        <v>-269849033</v>
      </c>
      <c r="O6" s="17">
        <f>IF(ISBLANK(tblDonnées[[#This Row],[MONTANT AUTO]]), "N/A", ABS(tblDonnées[[#This Row],[POS  FUSIONNEE CPTE APRES OP]])-ABS(tblDonnées[[#This Row],[MONTANT AUTO]]))</f>
        <v>19849033</v>
      </c>
      <c r="P6" s="39">
        <f>tblDonnées[[#This Row],[DEPASSEMENT TOTAL SUR AUTO
]]/-tblDonnées[[#This Row],[MONTANT AUTO]]</f>
        <v>7.9396131999999994E-2</v>
      </c>
      <c r="T6" s="17">
        <f>IF(tblDonnées[[#This Row],[0,5% du dép]]&lt;5000,5000,IF(tblDonnées[[#This Row],[0,5% du dép]]&gt;50000,50000,tblDonnées[[#This Row],[0,5% du dép]]))</f>
        <v>50000</v>
      </c>
      <c r="U6" s="10">
        <f>ABS(tblDonnées[[#This Row],[MONTANT DEPASSEMENT]]*0.005)</f>
        <v>99245.165000000008</v>
      </c>
      <c r="Z6" s="85" t="s">
        <v>712</v>
      </c>
      <c r="AA6" s="8"/>
    </row>
    <row r="7" spans="1:27" s="10" customFormat="1" x14ac:dyDescent="0.25">
      <c r="A7" s="9" t="s">
        <v>709</v>
      </c>
      <c r="B7" s="12"/>
      <c r="C7" s="13"/>
      <c r="D7" s="59"/>
      <c r="E7" s="48"/>
      <c r="F7" s="21"/>
      <c r="G7" s="13"/>
      <c r="H7" s="21"/>
      <c r="J7" s="14"/>
      <c r="K7" s="15"/>
      <c r="L7"/>
      <c r="M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7" s="38">
        <f>tblDonnées[[#This Row],[MONTANT OPERATION]]+tblDonnées[[#This Row],[POS  FUSIONNEE CPTE AVANT OP]]</f>
        <v>0</v>
      </c>
      <c r="O7" s="17" t="str">
        <f>IF(ISBLANK(tblDonnées[[#This Row],[MONTANT AUTO]]), "N/A", ABS(tblDonnées[[#This Row],[POS  FUSIONNEE CPTE APRES OP]])-ABS(tblDonnées[[#This Row],[MONTANT AUTO]]))</f>
        <v>N/A</v>
      </c>
      <c r="P7" s="39" t="e">
        <f>tblDonnées[[#This Row],[DEPASSEMENT TOTAL SUR AUTO
]]/-tblDonnées[[#This Row],[MONTANT AUTO]]</f>
        <v>#VALUE!</v>
      </c>
      <c r="T7" s="17">
        <f>IF(tblDonnées[[#This Row],[0,5% du dép]]&lt;5000,5000,IF(tblDonnées[[#This Row],[0,5% du dép]]&gt;50000,50000,tblDonnées[[#This Row],[0,5% du dép]]))</f>
        <v>5000</v>
      </c>
      <c r="U7" s="10">
        <f>ABS(tblDonnées[[#This Row],[MONTANT DEPASSEMENT]]*0.005)</f>
        <v>0</v>
      </c>
      <c r="Z7" s="70"/>
      <c r="AA7" s="8"/>
    </row>
    <row r="8" spans="1:27" s="10" customFormat="1" x14ac:dyDescent="0.25">
      <c r="A8" s="9"/>
      <c r="B8" s="12"/>
      <c r="C8" s="13"/>
      <c r="D8" s="41"/>
      <c r="E8" s="48"/>
      <c r="F8" s="21"/>
      <c r="G8" s="13"/>
      <c r="H8" s="21"/>
      <c r="J8" s="23"/>
      <c r="K8" s="15"/>
      <c r="L8"/>
      <c r="M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8" s="38">
        <f>tblDonnées[[#This Row],[MONTANT OPERATION]]+tblDonnées[[#This Row],[POS  FUSIONNEE CPTE AVANT OP]]</f>
        <v>0</v>
      </c>
      <c r="O8" s="17" t="str">
        <f>IF(ISBLANK(tblDonnées[[#This Row],[MONTANT AUTO]]), "N/A", ABS(tblDonnées[[#This Row],[POS  FUSIONNEE CPTE APRES OP]])-ABS(tblDonnées[[#This Row],[MONTANT AUTO]]))</f>
        <v>N/A</v>
      </c>
      <c r="P8" s="39" t="e">
        <f>tblDonnées[[#This Row],[DEPASSEMENT TOTAL SUR AUTO
]]/-tblDonnées[[#This Row],[MONTANT AUTO]]</f>
        <v>#VALUE!</v>
      </c>
      <c r="T8" s="17">
        <f>IF(tblDonnées[[#This Row],[0,5% du dép]]&lt;5000,5000,IF(tblDonnées[[#This Row],[0,5% du dép]]&gt;50000,50000,tblDonnées[[#This Row],[0,5% du dép]]))</f>
        <v>5000</v>
      </c>
      <c r="U8" s="10">
        <f>ABS(tblDonnées[[#This Row],[MONTANT DEPASSEMENT]]*0.005)</f>
        <v>0</v>
      </c>
      <c r="Z8" s="70"/>
      <c r="AA8" s="8"/>
    </row>
    <row r="9" spans="1:27" s="10" customFormat="1" x14ac:dyDescent="0.25">
      <c r="A9" s="9"/>
      <c r="B9" s="12"/>
      <c r="D9" s="41"/>
      <c r="E9" s="48"/>
      <c r="F9" s="41"/>
      <c r="G9" s="13"/>
      <c r="H9" s="21"/>
      <c r="J9" s="14"/>
      <c r="K9" s="15"/>
      <c r="L9"/>
      <c r="M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9" s="38">
        <f>tblDonnées[[#This Row],[MONTANT OPERATION]]+tblDonnées[[#This Row],[POS  FUSIONNEE CPTE AVANT OP]]</f>
        <v>0</v>
      </c>
      <c r="O9" s="17" t="str">
        <f>IF(ISBLANK(tblDonnées[[#This Row],[MONTANT AUTO]]), "N/A", ABS(tblDonnées[[#This Row],[POS  FUSIONNEE CPTE APRES OP]])-ABS(tblDonnées[[#This Row],[MONTANT AUTO]]))</f>
        <v>N/A</v>
      </c>
      <c r="P9" s="39" t="e">
        <f>tblDonnées[[#This Row],[DEPASSEMENT TOTAL SUR AUTO
]]/-tblDonnées[[#This Row],[MONTANT AUTO]]</f>
        <v>#VALUE!</v>
      </c>
      <c r="T9" s="17">
        <f>IF(tblDonnées[[#This Row],[0,5% du dép]]&lt;5000,5000,IF(tblDonnées[[#This Row],[0,5% du dép]]&gt;50000,50000,tblDonnées[[#This Row],[0,5% du dép]]))</f>
        <v>5000</v>
      </c>
      <c r="U9" s="10">
        <f>ABS(tblDonnées[[#This Row],[MONTANT DEPASSEMENT]]*0.005)</f>
        <v>0</v>
      </c>
      <c r="Z9" s="70"/>
      <c r="AA9" s="8"/>
    </row>
    <row r="10" spans="1:27" s="10" customFormat="1" x14ac:dyDescent="0.25">
      <c r="A10" s="9"/>
      <c r="B10" s="12"/>
      <c r="D10" s="41"/>
      <c r="E10" s="48"/>
      <c r="F10" s="21"/>
      <c r="G10" s="13"/>
      <c r="H10" s="21"/>
      <c r="J10" s="14"/>
      <c r="K10" s="15"/>
      <c r="L10"/>
      <c r="M1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0" s="38">
        <f>tblDonnées[[#This Row],[MONTANT OPERATION]]+tblDonnées[[#This Row],[POS  FUSIONNEE CPTE AVANT OP]]</f>
        <v>0</v>
      </c>
      <c r="O10" s="17" t="str">
        <f>IF(ISBLANK(tblDonnées[[#This Row],[MONTANT AUTO]]), "N/A", ABS(tblDonnées[[#This Row],[POS  FUSIONNEE CPTE APRES OP]])-ABS(tblDonnées[[#This Row],[MONTANT AUTO]]))</f>
        <v>N/A</v>
      </c>
      <c r="P10" s="39" t="e">
        <f>tblDonnées[[#This Row],[DEPASSEMENT TOTAL SUR AUTO
]]/-tblDonnées[[#This Row],[MONTANT AUTO]]</f>
        <v>#VALUE!</v>
      </c>
      <c r="T10" s="17">
        <f>IF(tblDonnées[[#This Row],[0,5% du dép]]&lt;5000,5000,IF(tblDonnées[[#This Row],[0,5% du dép]]&gt;50000,50000,tblDonnées[[#This Row],[0,5% du dép]]))</f>
        <v>5000</v>
      </c>
      <c r="U10" s="10">
        <f>ABS(tblDonnées[[#This Row],[MONTANT DEPASSEMENT]]*0.005)</f>
        <v>0</v>
      </c>
      <c r="Z10" s="70"/>
      <c r="AA10" s="8"/>
    </row>
    <row r="11" spans="1:27" s="10" customFormat="1" x14ac:dyDescent="0.25">
      <c r="A11" s="9"/>
      <c r="B11" s="12"/>
      <c r="C11" s="13"/>
      <c r="D11" s="41"/>
      <c r="E11" s="48"/>
      <c r="F11" s="21"/>
      <c r="G11" s="13"/>
      <c r="H11" s="21"/>
      <c r="J11" s="14"/>
      <c r="K11" s="15"/>
      <c r="L11"/>
      <c r="M1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1" s="38">
        <f>tblDonnées[[#This Row],[MONTANT OPERATION]]+tblDonnées[[#This Row],[POS  FUSIONNEE CPTE AVANT OP]]</f>
        <v>0</v>
      </c>
      <c r="O11" s="17" t="str">
        <f>IF(ISBLANK(tblDonnées[[#This Row],[MONTANT AUTO]]), "N/A", ABS(tblDonnées[[#This Row],[POS  FUSIONNEE CPTE APRES OP]])-ABS(tblDonnées[[#This Row],[MONTANT AUTO]]))</f>
        <v>N/A</v>
      </c>
      <c r="P11" s="39" t="e">
        <f>tblDonnées[[#This Row],[DEPASSEMENT TOTAL SUR AUTO
]]/-tblDonnées[[#This Row],[MONTANT AUTO]]</f>
        <v>#VALUE!</v>
      </c>
      <c r="Q11" s="9"/>
      <c r="T11" s="17">
        <f>IF(tblDonnées[[#This Row],[0,5% du dép]]&lt;5000,5000,IF(tblDonnées[[#This Row],[0,5% du dép]]&gt;50000,50000,tblDonnées[[#This Row],[0,5% du dép]]))</f>
        <v>5000</v>
      </c>
      <c r="U11" s="10">
        <f>ABS(tblDonnées[[#This Row],[MONTANT DEPASSEMENT]]*0.005)</f>
        <v>0</v>
      </c>
      <c r="Z11" s="70"/>
      <c r="AA11" s="8"/>
    </row>
    <row r="12" spans="1:27" s="10" customFormat="1" x14ac:dyDescent="0.25">
      <c r="A12" s="9"/>
      <c r="B12" s="12"/>
      <c r="C12" s="13"/>
      <c r="D12" s="41"/>
      <c r="E12" s="48"/>
      <c r="F12" s="21"/>
      <c r="G12" s="13"/>
      <c r="H12" s="21"/>
      <c r="J12" s="14"/>
      <c r="K12" s="15"/>
      <c r="L12"/>
      <c r="M1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2" s="38">
        <f>tblDonnées[[#This Row],[MONTANT OPERATION]]+tblDonnées[[#This Row],[POS  FUSIONNEE CPTE AVANT OP]]</f>
        <v>0</v>
      </c>
      <c r="O12" s="17" t="str">
        <f>IF(ISBLANK(tblDonnées[[#This Row],[MONTANT AUTO]]), "N/A", ABS(tblDonnées[[#This Row],[POS  FUSIONNEE CPTE APRES OP]])-ABS(tblDonnées[[#This Row],[MONTANT AUTO]]))</f>
        <v>N/A</v>
      </c>
      <c r="P12" s="39" t="e">
        <f>tblDonnées[[#This Row],[DEPASSEMENT TOTAL SUR AUTO
]]/-tblDonnées[[#This Row],[MONTANT AUTO]]</f>
        <v>#VALUE!</v>
      </c>
      <c r="Q12" s="9"/>
      <c r="T12" s="17">
        <f>IF(tblDonnées[[#This Row],[0,5% du dép]]&lt;5000,5000,IF(tblDonnées[[#This Row],[0,5% du dép]]&gt;50000,50000,tblDonnées[[#This Row],[0,5% du dép]]))</f>
        <v>5000</v>
      </c>
      <c r="U12" s="10">
        <f>ABS(tblDonnées[[#This Row],[MONTANT DEPASSEMENT]]*0.005)</f>
        <v>0</v>
      </c>
      <c r="Z12" s="70"/>
      <c r="AA12" s="8"/>
    </row>
    <row r="13" spans="1:27" s="10" customFormat="1" x14ac:dyDescent="0.25">
      <c r="A13" s="9"/>
      <c r="B13" s="12"/>
      <c r="D13" s="41"/>
      <c r="E13" s="48"/>
      <c r="F13" s="41"/>
      <c r="G13" s="13"/>
      <c r="H13" s="21"/>
      <c r="J13" s="14"/>
      <c r="K13" s="15"/>
      <c r="L13"/>
      <c r="M1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3" s="38">
        <f>tblDonnées[[#This Row],[MONTANT OPERATION]]+tblDonnées[[#This Row],[POS  FUSIONNEE CPTE AVANT OP]]</f>
        <v>0</v>
      </c>
      <c r="O13" s="17" t="str">
        <f>IF(ISBLANK(tblDonnées[[#This Row],[MONTANT AUTO]]), "N/A", ABS(tblDonnées[[#This Row],[POS  FUSIONNEE CPTE APRES OP]])-ABS(tblDonnées[[#This Row],[MONTANT AUTO]]))</f>
        <v>N/A</v>
      </c>
      <c r="P13" s="39" t="e">
        <f>tblDonnées[[#This Row],[DEPASSEMENT TOTAL SUR AUTO
]]/-tblDonnées[[#This Row],[MONTANT AUTO]]</f>
        <v>#VALUE!</v>
      </c>
      <c r="Q13" s="9"/>
      <c r="T13" s="17">
        <f>IF(tblDonnées[[#This Row],[0,5% du dép]]&lt;5000,5000,IF(tblDonnées[[#This Row],[0,5% du dép]]&gt;50000,50000,tblDonnées[[#This Row],[0,5% du dép]]))</f>
        <v>5000</v>
      </c>
      <c r="U13" s="10">
        <f>ABS(tblDonnées[[#This Row],[MONTANT DEPASSEMENT]]*0.005)</f>
        <v>0</v>
      </c>
      <c r="Z13" s="70"/>
      <c r="AA13" s="8"/>
    </row>
    <row r="14" spans="1:27" s="10" customFormat="1" x14ac:dyDescent="0.25">
      <c r="A14" s="9"/>
      <c r="B14" s="12"/>
      <c r="D14" s="41"/>
      <c r="E14" s="48"/>
      <c r="F14" s="21"/>
      <c r="G14" s="13"/>
      <c r="H14" s="21"/>
      <c r="J14" s="14"/>
      <c r="K14" s="15"/>
      <c r="L14"/>
      <c r="M1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4" s="38">
        <f>tblDonnées[[#This Row],[MONTANT OPERATION]]+tblDonnées[[#This Row],[POS  FUSIONNEE CPTE AVANT OP]]</f>
        <v>0</v>
      </c>
      <c r="O14" s="17" t="str">
        <f>IF(ISBLANK(tblDonnées[[#This Row],[MONTANT AUTO]]), "N/A", ABS(tblDonnées[[#This Row],[POS  FUSIONNEE CPTE APRES OP]])-ABS(tblDonnées[[#This Row],[MONTANT AUTO]]))</f>
        <v>N/A</v>
      </c>
      <c r="P14" s="39" t="e">
        <f>tblDonnées[[#This Row],[DEPASSEMENT TOTAL SUR AUTO
]]/-tblDonnées[[#This Row],[MONTANT AUTO]]</f>
        <v>#VALUE!</v>
      </c>
      <c r="T14" s="17">
        <f>IF(tblDonnées[[#This Row],[0,5% du dép]]&lt;5000,5000,IF(tblDonnées[[#This Row],[0,5% du dép]]&gt;50000,50000,tblDonnées[[#This Row],[0,5% du dép]]))</f>
        <v>5000</v>
      </c>
      <c r="U14" s="10">
        <f>ABS(tblDonnées[[#This Row],[MONTANT DEPASSEMENT]]*0.005)</f>
        <v>0</v>
      </c>
      <c r="Z14" s="70"/>
      <c r="AA14" s="8"/>
    </row>
    <row r="15" spans="1:27" s="10" customFormat="1" x14ac:dyDescent="0.25">
      <c r="A15" s="9">
        <v>46087</v>
      </c>
      <c r="B15" s="12">
        <v>807</v>
      </c>
      <c r="C15" s="19" t="s">
        <v>442</v>
      </c>
      <c r="D15" s="41" t="s">
        <v>190</v>
      </c>
      <c r="E15" s="48" t="s">
        <v>212</v>
      </c>
      <c r="F15" s="21" t="s">
        <v>92</v>
      </c>
      <c r="G15" s="13" t="s">
        <v>443</v>
      </c>
      <c r="H15" s="21" t="s">
        <v>31</v>
      </c>
      <c r="J15" s="14"/>
      <c r="K15" s="15"/>
      <c r="L15"/>
      <c r="M1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5" s="38">
        <f>tblDonnées[[#This Row],[MONTANT OPERATION]]+tblDonnées[[#This Row],[POS  FUSIONNEE CPTE AVANT OP]]</f>
        <v>0</v>
      </c>
      <c r="O15" s="17" t="str">
        <f>IF(ISBLANK(tblDonnées[[#This Row],[MONTANT AUTO]]), "N/A", ABS(tblDonnées[[#This Row],[POS  FUSIONNEE CPTE APRES OP]])-ABS(tblDonnées[[#This Row],[MONTANT AUTO]]))</f>
        <v>N/A</v>
      </c>
      <c r="P15" s="39" t="e">
        <f>tblDonnées[[#This Row],[DEPASSEMENT TOTAL SUR AUTO
]]/-tblDonnées[[#This Row],[MONTANT AUTO]]</f>
        <v>#VALUE!</v>
      </c>
      <c r="T15" s="17">
        <f>IF(tblDonnées[[#This Row],[0,5% du dép]]&lt;5000,5000,IF(tblDonnées[[#This Row],[0,5% du dép]]&gt;50000,50000,tblDonnées[[#This Row],[0,5% du dép]]))</f>
        <v>5000</v>
      </c>
      <c r="U15" s="10">
        <f>ABS(tblDonnées[[#This Row],[MONTANT DEPASSEMENT]]*0.005)</f>
        <v>0</v>
      </c>
      <c r="Z15" s="70"/>
      <c r="AA15" s="8"/>
    </row>
    <row r="16" spans="1:27" s="10" customFormat="1" x14ac:dyDescent="0.25">
      <c r="A16" s="9"/>
      <c r="B16" s="12"/>
      <c r="D16" s="41"/>
      <c r="E16" s="48"/>
      <c r="F16" s="41"/>
      <c r="G16" s="13"/>
      <c r="H16" s="21"/>
      <c r="J16" s="14"/>
      <c r="K16" s="15"/>
      <c r="L16"/>
      <c r="M1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6" s="38">
        <f>tblDonnées[[#This Row],[MONTANT OPERATION]]+tblDonnées[[#This Row],[POS  FUSIONNEE CPTE AVANT OP]]</f>
        <v>0</v>
      </c>
      <c r="O16" s="17" t="str">
        <f>IF(ISBLANK(tblDonnées[[#This Row],[MONTANT AUTO]]), "N/A", ABS(tblDonnées[[#This Row],[POS  FUSIONNEE CPTE APRES OP]])-ABS(tblDonnées[[#This Row],[MONTANT AUTO]]))</f>
        <v>N/A</v>
      </c>
      <c r="P16" s="39" t="e">
        <f>tblDonnées[[#This Row],[DEPASSEMENT TOTAL SUR AUTO
]]/-tblDonnées[[#This Row],[MONTANT AUTO]]</f>
        <v>#VALUE!</v>
      </c>
      <c r="T16" s="17">
        <f>IF(tblDonnées[[#This Row],[0,5% du dép]]&lt;5000,5000,IF(tblDonnées[[#This Row],[0,5% du dép]]&gt;50000,50000,tblDonnées[[#This Row],[0,5% du dép]]))</f>
        <v>5000</v>
      </c>
      <c r="U16" s="10">
        <f>ABS(tblDonnées[[#This Row],[MONTANT DEPASSEMENT]]*0.005)</f>
        <v>0</v>
      </c>
      <c r="Z16" s="70"/>
      <c r="AA16" s="8"/>
    </row>
    <row r="17" spans="1:27" s="10" customFormat="1" x14ac:dyDescent="0.25">
      <c r="A17" s="9"/>
      <c r="B17" s="12"/>
      <c r="D17" s="41"/>
      <c r="E17" s="48"/>
      <c r="F17" s="41"/>
      <c r="G17" s="13"/>
      <c r="H17" s="21"/>
      <c r="J17" s="25"/>
      <c r="K17" s="26"/>
      <c r="L17"/>
      <c r="M1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7" s="38">
        <f>tblDonnées[[#This Row],[MONTANT OPERATION]]+tblDonnées[[#This Row],[POS  FUSIONNEE CPTE AVANT OP]]</f>
        <v>0</v>
      </c>
      <c r="O17" s="17" t="str">
        <f>IF(ISBLANK(tblDonnées[[#This Row],[MONTANT AUTO]]), "N/A", ABS(tblDonnées[[#This Row],[POS  FUSIONNEE CPTE APRES OP]])-ABS(tblDonnées[[#This Row],[MONTANT AUTO]]))</f>
        <v>N/A</v>
      </c>
      <c r="P17" s="39" t="e">
        <f>tblDonnées[[#This Row],[DEPASSEMENT TOTAL SUR AUTO
]]/-tblDonnées[[#This Row],[MONTANT AUTO]]</f>
        <v>#VALUE!</v>
      </c>
      <c r="T17" s="17">
        <f>IF(tblDonnées[[#This Row],[0,5% du dép]]&lt;5000,5000,IF(tblDonnées[[#This Row],[0,5% du dép]]&gt;50000,50000,tblDonnées[[#This Row],[0,5% du dép]]))</f>
        <v>5000</v>
      </c>
      <c r="U17" s="10">
        <f>ABS(tblDonnées[[#This Row],[MONTANT DEPASSEMENT]]*0.005)</f>
        <v>0</v>
      </c>
      <c r="Z17" s="70"/>
      <c r="AA17" s="8"/>
    </row>
    <row r="18" spans="1:27" s="10" customFormat="1" x14ac:dyDescent="0.25">
      <c r="A18" s="9"/>
      <c r="B18" s="12"/>
      <c r="C18" s="13"/>
      <c r="D18" s="41"/>
      <c r="E18" s="48"/>
      <c r="F18" s="21"/>
      <c r="G18" s="13"/>
      <c r="H18" s="21"/>
      <c r="J18" s="14"/>
      <c r="K18" s="15"/>
      <c r="L18"/>
      <c r="M1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8" s="38">
        <f>tblDonnées[[#This Row],[MONTANT OPERATION]]+tblDonnées[[#This Row],[POS  FUSIONNEE CPTE AVANT OP]]</f>
        <v>0</v>
      </c>
      <c r="O18" s="17" t="str">
        <f>IF(ISBLANK(tblDonnées[[#This Row],[MONTANT AUTO]]), "N/A", ABS(tblDonnées[[#This Row],[POS  FUSIONNEE CPTE APRES OP]])-ABS(tblDonnées[[#This Row],[MONTANT AUTO]]))</f>
        <v>N/A</v>
      </c>
      <c r="P18" s="39" t="e">
        <f>tblDonnées[[#This Row],[DEPASSEMENT TOTAL SUR AUTO
]]/-tblDonnées[[#This Row],[MONTANT AUTO]]</f>
        <v>#VALUE!</v>
      </c>
      <c r="T18" s="17">
        <f>IF(tblDonnées[[#This Row],[0,5% du dép]]&lt;5000,5000,IF(tblDonnées[[#This Row],[0,5% du dép]]&gt;50000,50000,tblDonnées[[#This Row],[0,5% du dép]]))</f>
        <v>5000</v>
      </c>
      <c r="U18" s="10">
        <f>ABS(tblDonnées[[#This Row],[MONTANT DEPASSEMENT]]*0.005)</f>
        <v>0</v>
      </c>
      <c r="Z18" s="70"/>
      <c r="AA18" s="8"/>
    </row>
    <row r="19" spans="1:27" s="10" customFormat="1" x14ac:dyDescent="0.25">
      <c r="A19" s="9"/>
      <c r="B19" s="12"/>
      <c r="D19" s="41"/>
      <c r="E19" s="48"/>
      <c r="F19" s="41"/>
      <c r="G19" s="13"/>
      <c r="H19" s="21"/>
      <c r="J19" s="14"/>
      <c r="K19" s="15"/>
      <c r="L19" s="16"/>
      <c r="M1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9" s="38">
        <f>tblDonnées[[#This Row],[MONTANT OPERATION]]+tblDonnées[[#This Row],[POS  FUSIONNEE CPTE AVANT OP]]</f>
        <v>0</v>
      </c>
      <c r="O19" s="17" t="str">
        <f>IF(ISBLANK(tblDonnées[[#This Row],[MONTANT AUTO]]), "N/A", ABS(tblDonnées[[#This Row],[POS  FUSIONNEE CPTE APRES OP]])-ABS(tblDonnées[[#This Row],[MONTANT AUTO]]))</f>
        <v>N/A</v>
      </c>
      <c r="P19" s="39" t="e">
        <f>tblDonnées[[#This Row],[DEPASSEMENT TOTAL SUR AUTO
]]/-tblDonnées[[#This Row],[MONTANT AUTO]]</f>
        <v>#VALUE!</v>
      </c>
      <c r="T19" s="17">
        <f>IF(tblDonnées[[#This Row],[0,5% du dép]]&lt;5000,5000,IF(tblDonnées[[#This Row],[0,5% du dép]]&gt;50000,50000,tblDonnées[[#This Row],[0,5% du dép]]))</f>
        <v>5000</v>
      </c>
      <c r="U19" s="10">
        <f>ABS(tblDonnées[[#This Row],[MONTANT DEPASSEMENT]]*0.005)</f>
        <v>0</v>
      </c>
      <c r="Z19" s="70"/>
      <c r="AA19" s="8"/>
    </row>
    <row r="20" spans="1:27" s="10" customFormat="1" x14ac:dyDescent="0.25">
      <c r="A20" s="9"/>
      <c r="B20" s="12"/>
      <c r="D20" s="41"/>
      <c r="E20" s="48"/>
      <c r="F20" s="41"/>
      <c r="G20" s="13"/>
      <c r="H20" s="21"/>
      <c r="I20" s="1"/>
      <c r="J20" s="14"/>
      <c r="K20" s="15"/>
      <c r="L20" s="16"/>
      <c r="M2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0" s="38">
        <f>tblDonnées[[#This Row],[MONTANT OPERATION]]+tblDonnées[[#This Row],[POS  FUSIONNEE CPTE AVANT OP]]</f>
        <v>0</v>
      </c>
      <c r="O20" s="17" t="str">
        <f>IF(ISBLANK(tblDonnées[[#This Row],[MONTANT AUTO]]), "N/A", ABS(tblDonnées[[#This Row],[POS  FUSIONNEE CPTE APRES OP]])-ABS(tblDonnées[[#This Row],[MONTANT AUTO]]))</f>
        <v>N/A</v>
      </c>
      <c r="P20" s="39" t="e">
        <f>tblDonnées[[#This Row],[DEPASSEMENT TOTAL SUR AUTO
]]/-tblDonnées[[#This Row],[MONTANT AUTO]]</f>
        <v>#VALUE!</v>
      </c>
      <c r="T20" s="17">
        <f>IF(tblDonnées[[#This Row],[0,5% du dép]]&lt;5000,5000,IF(tblDonnées[[#This Row],[0,5% du dép]]&gt;50000,50000,tblDonnées[[#This Row],[0,5% du dép]]))</f>
        <v>5000</v>
      </c>
      <c r="U20" s="10">
        <f>ABS(tblDonnées[[#This Row],[MONTANT DEPASSEMENT]]*0.005)</f>
        <v>0</v>
      </c>
      <c r="Z20" s="70"/>
      <c r="AA20" s="8"/>
    </row>
    <row r="21" spans="1:27" s="10" customFormat="1" x14ac:dyDescent="0.25">
      <c r="A21" s="9">
        <v>46087</v>
      </c>
      <c r="B21" s="12">
        <v>705</v>
      </c>
      <c r="C21" s="10" t="s">
        <v>429</v>
      </c>
      <c r="D21" s="41" t="s">
        <v>161</v>
      </c>
      <c r="E21" s="58" t="s">
        <v>255</v>
      </c>
      <c r="F21" s="41" t="s">
        <v>256</v>
      </c>
      <c r="G21" s="13" t="s">
        <v>434</v>
      </c>
      <c r="H21" s="21" t="s">
        <v>162</v>
      </c>
      <c r="J21" s="14"/>
      <c r="K21" s="15"/>
      <c r="L21" s="16"/>
      <c r="M2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1" s="38">
        <f>tblDonnées[[#This Row],[MONTANT OPERATION]]+tblDonnées[[#This Row],[POS  FUSIONNEE CPTE AVANT OP]]</f>
        <v>0</v>
      </c>
      <c r="O21" s="17" t="str">
        <f>IF(ISBLANK(tblDonnées[[#This Row],[MONTANT AUTO]]), "N/A", ABS(tblDonnées[[#This Row],[POS  FUSIONNEE CPTE APRES OP]])-ABS(tblDonnées[[#This Row],[MONTANT AUTO]]))</f>
        <v>N/A</v>
      </c>
      <c r="P21" s="39" t="e">
        <f>tblDonnées[[#This Row],[DEPASSEMENT TOTAL SUR AUTO
]]/-tblDonnées[[#This Row],[MONTANT AUTO]]</f>
        <v>#VALUE!</v>
      </c>
      <c r="T21" s="17">
        <f>IF(tblDonnées[[#This Row],[0,5% du dép]]&lt;5000,5000,IF(tblDonnées[[#This Row],[0,5% du dép]]&gt;50000,50000,tblDonnées[[#This Row],[0,5% du dép]]))</f>
        <v>5000</v>
      </c>
      <c r="U21" s="10">
        <f>ABS(tblDonnées[[#This Row],[MONTANT DEPASSEMENT]]*0.005)</f>
        <v>0</v>
      </c>
      <c r="Z21" s="70"/>
      <c r="AA21" s="8"/>
    </row>
    <row r="22" spans="1:27" s="10" customFormat="1" x14ac:dyDescent="0.25">
      <c r="A22" s="9"/>
      <c r="B22" s="12"/>
      <c r="D22" s="41"/>
      <c r="E22" s="48"/>
      <c r="F22" s="41"/>
      <c r="G22" s="13"/>
      <c r="H22" s="21"/>
      <c r="I22" s="1"/>
      <c r="J22" s="14"/>
      <c r="K22" s="15"/>
      <c r="L22" s="16"/>
      <c r="M2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2" s="38">
        <f>tblDonnées[[#This Row],[MONTANT OPERATION]]+tblDonnées[[#This Row],[POS  FUSIONNEE CPTE AVANT OP]]</f>
        <v>0</v>
      </c>
      <c r="O22" s="17" t="str">
        <f>IF(ISBLANK(tblDonnées[[#This Row],[MONTANT AUTO]]), "N/A", ABS(tblDonnées[[#This Row],[POS  FUSIONNEE CPTE APRES OP]])-ABS(tblDonnées[[#This Row],[MONTANT AUTO]]))</f>
        <v>N/A</v>
      </c>
      <c r="P22" s="39" t="e">
        <f>tblDonnées[[#This Row],[DEPASSEMENT TOTAL SUR AUTO
]]/-tblDonnées[[#This Row],[MONTANT AUTO]]</f>
        <v>#VALUE!</v>
      </c>
      <c r="T22" s="17">
        <f>IF(tblDonnées[[#This Row],[0,5% du dép]]&lt;5000,5000,IF(tblDonnées[[#This Row],[0,5% du dép]]&gt;50000,50000,tblDonnées[[#This Row],[0,5% du dép]]))</f>
        <v>5000</v>
      </c>
      <c r="U22" s="10">
        <f>ABS(tblDonnées[[#This Row],[MONTANT DEPASSEMENT]]*0.005)</f>
        <v>0</v>
      </c>
      <c r="Z22" s="70"/>
      <c r="AA22" s="8"/>
    </row>
    <row r="23" spans="1:27" s="10" customFormat="1" x14ac:dyDescent="0.25">
      <c r="A23" s="9"/>
      <c r="B23" s="12"/>
      <c r="D23" s="41"/>
      <c r="E23" s="48"/>
      <c r="F23" s="41"/>
      <c r="G23" s="13"/>
      <c r="H23" s="21"/>
      <c r="I23" s="1"/>
      <c r="J23" s="14"/>
      <c r="K23" s="15"/>
      <c r="L23" s="16"/>
      <c r="M2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3" s="38">
        <f>tblDonnées[[#This Row],[MONTANT OPERATION]]+tblDonnées[[#This Row],[POS  FUSIONNEE CPTE AVANT OP]]</f>
        <v>0</v>
      </c>
      <c r="O23" s="17" t="str">
        <f>IF(ISBLANK(tblDonnées[[#This Row],[MONTANT AUTO]]), "N/A", ABS(tblDonnées[[#This Row],[POS  FUSIONNEE CPTE APRES OP]])-ABS(tblDonnées[[#This Row],[MONTANT AUTO]]))</f>
        <v>N/A</v>
      </c>
      <c r="P23" s="39" t="e">
        <f>tblDonnées[[#This Row],[DEPASSEMENT TOTAL SUR AUTO
]]/-tblDonnées[[#This Row],[MONTANT AUTO]]</f>
        <v>#VALUE!</v>
      </c>
      <c r="T23" s="17">
        <f>IF(tblDonnées[[#This Row],[0,5% du dép]]&lt;5000,5000,IF(tblDonnées[[#This Row],[0,5% du dép]]&gt;50000,50000,tblDonnées[[#This Row],[0,5% du dép]]))</f>
        <v>5000</v>
      </c>
      <c r="U23" s="10">
        <f>ABS(tblDonnées[[#This Row],[MONTANT DEPASSEMENT]]*0.005)</f>
        <v>0</v>
      </c>
      <c r="Z23" s="70"/>
      <c r="AA23" s="8"/>
    </row>
    <row r="24" spans="1:27" s="10" customFormat="1" x14ac:dyDescent="0.25">
      <c r="A24" s="9"/>
      <c r="B24" s="12"/>
      <c r="D24" s="41"/>
      <c r="E24" s="48"/>
      <c r="F24" s="41"/>
      <c r="G24" s="13"/>
      <c r="H24" s="21"/>
      <c r="I24" s="1"/>
      <c r="J24" s="14"/>
      <c r="K24" s="15"/>
      <c r="L24" s="16"/>
      <c r="M2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4" s="38">
        <f>tblDonnées[[#This Row],[MONTANT OPERATION]]+tblDonnées[[#This Row],[POS  FUSIONNEE CPTE AVANT OP]]</f>
        <v>0</v>
      </c>
      <c r="O24" s="17" t="str">
        <f>IF(ISBLANK(tblDonnées[[#This Row],[MONTANT AUTO]]), "N/A", ABS(tblDonnées[[#This Row],[POS  FUSIONNEE CPTE APRES OP]])-ABS(tblDonnées[[#This Row],[MONTANT AUTO]]))</f>
        <v>N/A</v>
      </c>
      <c r="P24" s="39" t="e">
        <f>tblDonnées[[#This Row],[DEPASSEMENT TOTAL SUR AUTO
]]/-tblDonnées[[#This Row],[MONTANT AUTO]]</f>
        <v>#VALUE!</v>
      </c>
      <c r="T24" s="17">
        <f>IF(tblDonnées[[#This Row],[0,5% du dép]]&lt;5000,5000,IF(tblDonnées[[#This Row],[0,5% du dép]]&gt;50000,50000,tblDonnées[[#This Row],[0,5% du dép]]))</f>
        <v>5000</v>
      </c>
      <c r="U24" s="10">
        <f>ABS(tblDonnées[[#This Row],[MONTANT DEPASSEMENT]]*0.005)</f>
        <v>0</v>
      </c>
      <c r="Z24" s="70"/>
      <c r="AA24" s="8"/>
    </row>
    <row r="25" spans="1:27" s="10" customFormat="1" x14ac:dyDescent="0.25">
      <c r="A25" s="9"/>
      <c r="B25" s="12"/>
      <c r="D25" s="41"/>
      <c r="E25" s="48"/>
      <c r="F25" s="41"/>
      <c r="G25" s="13"/>
      <c r="H25" s="21"/>
      <c r="I25" s="1"/>
      <c r="J25" s="14"/>
      <c r="K25" s="15"/>
      <c r="L25" s="16"/>
      <c r="M2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5" s="38">
        <f>tblDonnées[[#This Row],[MONTANT OPERATION]]+tblDonnées[[#This Row],[POS  FUSIONNEE CPTE AVANT OP]]</f>
        <v>0</v>
      </c>
      <c r="O25" s="17" t="str">
        <f>IF(ISBLANK(tblDonnées[[#This Row],[MONTANT AUTO]]), "N/A", ABS(tblDonnées[[#This Row],[POS  FUSIONNEE CPTE APRES OP]])-ABS(tblDonnées[[#This Row],[MONTANT AUTO]]))</f>
        <v>N/A</v>
      </c>
      <c r="P25" s="39" t="e">
        <f>tblDonnées[[#This Row],[DEPASSEMENT TOTAL SUR AUTO
]]/-tblDonnées[[#This Row],[MONTANT AUTO]]</f>
        <v>#VALUE!</v>
      </c>
      <c r="T25" s="17">
        <f>IF(tblDonnées[[#This Row],[0,5% du dép]]&lt;5000,5000,IF(tblDonnées[[#This Row],[0,5% du dép]]&gt;50000,50000,tblDonnées[[#This Row],[0,5% du dép]]))</f>
        <v>5000</v>
      </c>
      <c r="U25" s="10">
        <f>ABS(tblDonnées[[#This Row],[MONTANT DEPASSEMENT]]*0.005)</f>
        <v>0</v>
      </c>
      <c r="Z25" s="70"/>
      <c r="AA25" s="8"/>
    </row>
    <row r="26" spans="1:27" s="10" customFormat="1" ht="17.25" customHeight="1" x14ac:dyDescent="0.25">
      <c r="A26" s="9"/>
      <c r="B26" s="12"/>
      <c r="D26" s="41"/>
      <c r="E26" s="48"/>
      <c r="F26" s="41"/>
      <c r="G26" s="13"/>
      <c r="H26" s="21"/>
      <c r="I26" s="1"/>
      <c r="J26" s="25"/>
      <c r="K26" s="26"/>
      <c r="L26" s="16"/>
      <c r="M2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6" s="38">
        <f>tblDonnées[[#This Row],[MONTANT OPERATION]]+tblDonnées[[#This Row],[POS  FUSIONNEE CPTE AVANT OP]]</f>
        <v>0</v>
      </c>
      <c r="O26" s="17" t="str">
        <f>IF(ISBLANK(tblDonnées[[#This Row],[MONTANT AUTO]]), "N/A", ABS(tblDonnées[[#This Row],[POS  FUSIONNEE CPTE APRES OP]])-ABS(tblDonnées[[#This Row],[MONTANT AUTO]]))</f>
        <v>N/A</v>
      </c>
      <c r="P26" s="39" t="e">
        <f>tblDonnées[[#This Row],[DEPASSEMENT TOTAL SUR AUTO
]]/-tblDonnées[[#This Row],[MONTANT AUTO]]</f>
        <v>#VALUE!</v>
      </c>
      <c r="T26" s="17">
        <f>IF(tblDonnées[[#This Row],[0,5% du dép]]&lt;5000,5000,IF(tblDonnées[[#This Row],[0,5% du dép]]&gt;50000,50000,tblDonnées[[#This Row],[0,5% du dép]]))</f>
        <v>5000</v>
      </c>
      <c r="U26" s="10">
        <f>ABS(tblDonnées[[#This Row],[MONTANT DEPASSEMENT]]*0.005)</f>
        <v>0</v>
      </c>
      <c r="Z26" s="70"/>
      <c r="AA26" s="8"/>
    </row>
    <row r="27" spans="1:27" s="10" customFormat="1" ht="13.5" customHeight="1" x14ac:dyDescent="0.25">
      <c r="A27" s="9"/>
      <c r="B27" s="12"/>
      <c r="D27" s="41"/>
      <c r="E27" s="48"/>
      <c r="F27" s="21"/>
      <c r="G27" s="13"/>
      <c r="H27" s="21"/>
      <c r="I27" s="1"/>
      <c r="J27" s="14"/>
      <c r="K27" s="15"/>
      <c r="L27" s="16"/>
      <c r="M2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7" s="38">
        <f>tblDonnées[[#This Row],[MONTANT OPERATION]]+tblDonnées[[#This Row],[POS  FUSIONNEE CPTE AVANT OP]]</f>
        <v>0</v>
      </c>
      <c r="O27" s="17" t="str">
        <f>IF(ISBLANK(tblDonnées[[#This Row],[MONTANT AUTO]]), "N/A", ABS(tblDonnées[[#This Row],[POS  FUSIONNEE CPTE APRES OP]])-ABS(tblDonnées[[#This Row],[MONTANT AUTO]]))</f>
        <v>N/A</v>
      </c>
      <c r="P27" s="39" t="e">
        <f>tblDonnées[[#This Row],[DEPASSEMENT TOTAL SUR AUTO
]]/-tblDonnées[[#This Row],[MONTANT AUTO]]</f>
        <v>#VALUE!</v>
      </c>
      <c r="T27" s="17">
        <f>IF(tblDonnées[[#This Row],[0,5% du dép]]&lt;5000,5000,IF(tblDonnées[[#This Row],[0,5% du dép]]&gt;50000,50000,tblDonnées[[#This Row],[0,5% du dép]]))</f>
        <v>5000</v>
      </c>
      <c r="U27" s="10">
        <f>ABS(tblDonnées[[#This Row],[MONTANT DEPASSEMENT]]*0.005)</f>
        <v>0</v>
      </c>
      <c r="Z27" s="70"/>
      <c r="AA27" s="8"/>
    </row>
    <row r="28" spans="1:27" s="10" customFormat="1" x14ac:dyDescent="0.25">
      <c r="A28" s="9"/>
      <c r="B28" s="12"/>
      <c r="D28" s="41"/>
      <c r="E28" s="48"/>
      <c r="F28" s="41"/>
      <c r="G28" s="13"/>
      <c r="H28" s="21"/>
      <c r="I28" s="1"/>
      <c r="J28" s="14"/>
      <c r="K28" s="15"/>
      <c r="L28" s="16"/>
      <c r="M2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8" s="38">
        <f>tblDonnées[[#This Row],[MONTANT OPERATION]]+tblDonnées[[#This Row],[POS  FUSIONNEE CPTE AVANT OP]]</f>
        <v>0</v>
      </c>
      <c r="O28" s="17" t="str">
        <f>IF(ISBLANK(tblDonnées[[#This Row],[MONTANT AUTO]]), "N/A", ABS(tblDonnées[[#This Row],[POS  FUSIONNEE CPTE APRES OP]])-ABS(tblDonnées[[#This Row],[MONTANT AUTO]]))</f>
        <v>N/A</v>
      </c>
      <c r="P28" s="39" t="e">
        <f>tblDonnées[[#This Row],[DEPASSEMENT TOTAL SUR AUTO
]]/-tblDonnées[[#This Row],[MONTANT AUTO]]</f>
        <v>#VALUE!</v>
      </c>
      <c r="Q28" s="13"/>
      <c r="R28" s="13"/>
      <c r="S28" s="13"/>
      <c r="T28" s="17">
        <f>IF(tblDonnées[[#This Row],[0,5% du dép]]&lt;5000,5000,IF(tblDonnées[[#This Row],[0,5% du dép]]&gt;50000,50000,tblDonnées[[#This Row],[0,5% du dép]]))</f>
        <v>5000</v>
      </c>
      <c r="U28" s="10">
        <f>ABS(tblDonnées[[#This Row],[MONTANT DEPASSEMENT]]*0.005)</f>
        <v>0</v>
      </c>
      <c r="V28" s="13"/>
      <c r="Z28" s="70"/>
      <c r="AA28" s="8"/>
    </row>
    <row r="29" spans="1:27" s="10" customFormat="1" x14ac:dyDescent="0.25">
      <c r="A29" s="9"/>
      <c r="B29" s="12"/>
      <c r="C29" s="13"/>
      <c r="D29" s="41"/>
      <c r="E29" s="48"/>
      <c r="F29" s="21"/>
      <c r="G29" s="13"/>
      <c r="H29" s="21"/>
      <c r="J29" s="23"/>
      <c r="K29" s="15"/>
      <c r="L29" s="16"/>
      <c r="M2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9" s="38">
        <f>tblDonnées[[#This Row],[MONTANT OPERATION]]+tblDonnées[[#This Row],[POS  FUSIONNEE CPTE AVANT OP]]</f>
        <v>0</v>
      </c>
      <c r="O29" s="17" t="str">
        <f>IF(ISBLANK(tblDonnées[[#This Row],[MONTANT AUTO]]), "N/A", ABS(tblDonnées[[#This Row],[POS  FUSIONNEE CPTE APRES OP]])-ABS(tblDonnées[[#This Row],[MONTANT AUTO]]))</f>
        <v>N/A</v>
      </c>
      <c r="P29" s="39" t="e">
        <f>tblDonnées[[#This Row],[DEPASSEMENT TOTAL SUR AUTO
]]/-tblDonnées[[#This Row],[MONTANT AUTO]]</f>
        <v>#VALUE!</v>
      </c>
      <c r="Q29" s="13"/>
      <c r="R29" s="13"/>
      <c r="S29" s="13"/>
      <c r="T29" s="17">
        <f>IF(tblDonnées[[#This Row],[0,5% du dép]]&lt;5000,5000,IF(tblDonnées[[#This Row],[0,5% du dép]]&gt;50000,50000,tblDonnées[[#This Row],[0,5% du dép]]))</f>
        <v>5000</v>
      </c>
      <c r="U29" s="10">
        <f>ABS(tblDonnées[[#This Row],[MONTANT DEPASSEMENT]]*0.005)</f>
        <v>0</v>
      </c>
      <c r="V29" s="13"/>
      <c r="Z29" s="70"/>
      <c r="AA29" s="8"/>
    </row>
    <row r="30" spans="1:27" s="10" customFormat="1" x14ac:dyDescent="0.25">
      <c r="A30" s="9"/>
      <c r="B30" s="12"/>
      <c r="C30" s="13"/>
      <c r="D30" s="41"/>
      <c r="E30" s="48"/>
      <c r="F30" s="21"/>
      <c r="G30" s="13"/>
      <c r="H30" s="21"/>
      <c r="J30" s="23"/>
      <c r="K30" s="15"/>
      <c r="L30" s="16"/>
      <c r="M3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0" s="38">
        <f>tblDonnées[[#This Row],[MONTANT OPERATION]]+tblDonnées[[#This Row],[POS  FUSIONNEE CPTE AVANT OP]]</f>
        <v>0</v>
      </c>
      <c r="O30" s="17" t="str">
        <f>IF(ISBLANK(tblDonnées[[#This Row],[MONTANT AUTO]]), "N/A", ABS(tblDonnées[[#This Row],[POS  FUSIONNEE CPTE APRES OP]])-ABS(tblDonnées[[#This Row],[MONTANT AUTO]]))</f>
        <v>N/A</v>
      </c>
      <c r="P30" s="39" t="e">
        <f>tblDonnées[[#This Row],[DEPASSEMENT TOTAL SUR AUTO
]]/-tblDonnées[[#This Row],[MONTANT AUTO]]</f>
        <v>#VALUE!</v>
      </c>
      <c r="Q30" s="13"/>
      <c r="R30" s="13"/>
      <c r="S30" s="13"/>
      <c r="T30" s="17">
        <f>IF(tblDonnées[[#This Row],[0,5% du dép]]&lt;5000,5000,IF(tblDonnées[[#This Row],[0,5% du dép]]&gt;50000,50000,tblDonnées[[#This Row],[0,5% du dép]]))</f>
        <v>5000</v>
      </c>
      <c r="U30" s="10">
        <f>ABS(tblDonnées[[#This Row],[MONTANT DEPASSEMENT]]*0.005)</f>
        <v>0</v>
      </c>
      <c r="V30" s="13"/>
      <c r="Z30" s="70"/>
      <c r="AA30" s="8"/>
    </row>
    <row r="31" spans="1:27" s="10" customFormat="1" x14ac:dyDescent="0.25">
      <c r="A31" s="9">
        <v>46087</v>
      </c>
      <c r="B31" s="12">
        <v>715</v>
      </c>
      <c r="C31" s="10" t="s">
        <v>439</v>
      </c>
      <c r="D31" s="41" t="s">
        <v>350</v>
      </c>
      <c r="E31" s="76" t="s">
        <v>351</v>
      </c>
      <c r="F31" s="21" t="s">
        <v>229</v>
      </c>
      <c r="G31" s="13" t="s">
        <v>552</v>
      </c>
      <c r="H31" s="21" t="s">
        <v>31</v>
      </c>
      <c r="J31" s="23"/>
      <c r="K31" s="15"/>
      <c r="L31" s="16"/>
      <c r="M3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1" s="38">
        <f>tblDonnées[[#This Row],[MONTANT OPERATION]]+tblDonnées[[#This Row],[POS  FUSIONNEE CPTE AVANT OP]]</f>
        <v>0</v>
      </c>
      <c r="O31" s="17" t="str">
        <f>IF(ISBLANK(tblDonnées[[#This Row],[MONTANT AUTO]]), "N/A", ABS(tblDonnées[[#This Row],[POS  FUSIONNEE CPTE APRES OP]])-ABS(tblDonnées[[#This Row],[MONTANT AUTO]]))</f>
        <v>N/A</v>
      </c>
      <c r="P31" s="39" t="e">
        <f>tblDonnées[[#This Row],[DEPASSEMENT TOTAL SUR AUTO
]]/-tblDonnées[[#This Row],[MONTANT AUTO]]</f>
        <v>#VALUE!</v>
      </c>
      <c r="Q31" s="13"/>
      <c r="R31" s="13"/>
      <c r="S31" s="13"/>
      <c r="T31" s="17">
        <f>IF(tblDonnées[[#This Row],[0,5% du dép]]&lt;5000,5000,IF(tblDonnées[[#This Row],[0,5% du dép]]&gt;50000,50000,tblDonnées[[#This Row],[0,5% du dép]]))</f>
        <v>5000</v>
      </c>
      <c r="U31" s="10">
        <f>ABS(tblDonnées[[#This Row],[MONTANT DEPASSEMENT]]*0.005)</f>
        <v>0</v>
      </c>
      <c r="V31" s="13"/>
      <c r="Z31" s="70"/>
      <c r="AA31" s="8"/>
    </row>
    <row r="32" spans="1:27" s="10" customFormat="1" x14ac:dyDescent="0.25">
      <c r="A32" s="9"/>
      <c r="B32" s="12"/>
      <c r="D32" s="41"/>
      <c r="E32" s="48"/>
      <c r="F32" s="21"/>
      <c r="G32" s="13"/>
      <c r="H32" s="21"/>
      <c r="J32" s="23"/>
      <c r="K32" s="15"/>
      <c r="L32" s="16"/>
      <c r="M3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2" s="38">
        <f>tblDonnées[[#This Row],[MONTANT OPERATION]]+tblDonnées[[#This Row],[POS  FUSIONNEE CPTE AVANT OP]]</f>
        <v>0</v>
      </c>
      <c r="O32" s="17" t="str">
        <f>IF(ISBLANK(tblDonnées[[#This Row],[MONTANT AUTO]]), "N/A", ABS(tblDonnées[[#This Row],[POS  FUSIONNEE CPTE APRES OP]])-ABS(tblDonnées[[#This Row],[MONTANT AUTO]]))</f>
        <v>N/A</v>
      </c>
      <c r="P32" s="39" t="e">
        <f>tblDonnées[[#This Row],[DEPASSEMENT TOTAL SUR AUTO
]]/-tblDonnées[[#This Row],[MONTANT AUTO]]</f>
        <v>#VALUE!</v>
      </c>
      <c r="Q32" s="13"/>
      <c r="R32" s="13"/>
      <c r="S32" s="13"/>
      <c r="T32" s="17">
        <f>IF(tblDonnées[[#This Row],[0,5% du dép]]&lt;5000,5000,IF(tblDonnées[[#This Row],[0,5% du dép]]&gt;50000,50000,tblDonnées[[#This Row],[0,5% du dép]]))</f>
        <v>5000</v>
      </c>
      <c r="U32" s="10">
        <f>ABS(tblDonnées[[#This Row],[MONTANT DEPASSEMENT]]*0.005)</f>
        <v>0</v>
      </c>
      <c r="V32" s="13"/>
      <c r="Z32" s="70"/>
      <c r="AA32" s="8"/>
    </row>
    <row r="33" spans="1:27" s="10" customFormat="1" x14ac:dyDescent="0.25">
      <c r="A33" s="9"/>
      <c r="B33" s="12"/>
      <c r="D33" s="41"/>
      <c r="E33" s="48"/>
      <c r="F33" s="21"/>
      <c r="G33" s="13"/>
      <c r="H33" s="21"/>
      <c r="I33" s="23"/>
      <c r="J33" s="23"/>
      <c r="K33" s="15"/>
      <c r="L33" s="16"/>
      <c r="M3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3" s="38">
        <f>tblDonnées[[#This Row],[MONTANT OPERATION]]+tblDonnées[[#This Row],[POS  FUSIONNEE CPTE AVANT OP]]</f>
        <v>0</v>
      </c>
      <c r="O33" s="17" t="str">
        <f>IF(ISBLANK(tblDonnées[[#This Row],[MONTANT AUTO]]), "N/A", ABS(tblDonnées[[#This Row],[POS  FUSIONNEE CPTE APRES OP]])-ABS(tblDonnées[[#This Row],[MONTANT AUTO]]))</f>
        <v>N/A</v>
      </c>
      <c r="P33" s="39" t="e">
        <f>tblDonnées[[#This Row],[DEPASSEMENT TOTAL SUR AUTO
]]/-tblDonnées[[#This Row],[MONTANT AUTO]]</f>
        <v>#VALUE!</v>
      </c>
      <c r="Q33" s="13"/>
      <c r="R33" s="13"/>
      <c r="S33" s="13"/>
      <c r="T33" s="17">
        <f>IF(tblDonnées[[#This Row],[0,5% du dép]]&lt;5000,5000,IF(tblDonnées[[#This Row],[0,5% du dép]]&gt;50000,50000,tblDonnées[[#This Row],[0,5% du dép]]))</f>
        <v>5000</v>
      </c>
      <c r="U33" s="10">
        <f>ABS(tblDonnées[[#This Row],[MONTANT DEPASSEMENT]]*0.005)</f>
        <v>0</v>
      </c>
      <c r="V33" s="13"/>
      <c r="Z33" s="70"/>
      <c r="AA33" s="8"/>
    </row>
    <row r="34" spans="1:27" s="10" customFormat="1" x14ac:dyDescent="0.25">
      <c r="A34" s="9"/>
      <c r="B34" s="12"/>
      <c r="D34" s="41"/>
      <c r="E34" s="48"/>
      <c r="F34" s="21"/>
      <c r="G34" s="13"/>
      <c r="H34" s="21"/>
      <c r="I34" s="23"/>
      <c r="J34" s="23"/>
      <c r="K34" s="15"/>
      <c r="L34" s="16"/>
      <c r="M3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4" s="38">
        <f>tblDonnées[[#This Row],[MONTANT OPERATION]]+tblDonnées[[#This Row],[POS  FUSIONNEE CPTE AVANT OP]]</f>
        <v>0</v>
      </c>
      <c r="O34" s="17" t="str">
        <f>IF(ISBLANK(tblDonnées[[#This Row],[MONTANT AUTO]]), "N/A", ABS(tblDonnées[[#This Row],[POS  FUSIONNEE CPTE APRES OP]])-ABS(tblDonnées[[#This Row],[MONTANT AUTO]]))</f>
        <v>N/A</v>
      </c>
      <c r="P34" s="39" t="e">
        <f>tblDonnées[[#This Row],[DEPASSEMENT TOTAL SUR AUTO
]]/-tblDonnées[[#This Row],[MONTANT AUTO]]</f>
        <v>#VALUE!</v>
      </c>
      <c r="Q34" s="13"/>
      <c r="R34" s="13"/>
      <c r="S34" s="13"/>
      <c r="T34" s="17">
        <f>IF(tblDonnées[[#This Row],[0,5% du dép]]&lt;5000,5000,IF(tblDonnées[[#This Row],[0,5% du dép]]&gt;50000,50000,tblDonnées[[#This Row],[0,5% du dép]]))</f>
        <v>5000</v>
      </c>
      <c r="U34" s="10">
        <f>ABS(tblDonnées[[#This Row],[MONTANT DEPASSEMENT]]*0.005)</f>
        <v>0</v>
      </c>
      <c r="V34" s="13"/>
      <c r="Z34" s="70"/>
      <c r="AA34" s="8"/>
    </row>
    <row r="35" spans="1:27" s="10" customFormat="1" x14ac:dyDescent="0.25">
      <c r="A35" s="30"/>
      <c r="B35" s="12"/>
      <c r="C35" s="13"/>
      <c r="D35" s="41"/>
      <c r="E35" s="48"/>
      <c r="F35" s="21"/>
      <c r="G35" s="13"/>
      <c r="H35" s="21"/>
      <c r="I35" s="31"/>
      <c r="J35" s="31"/>
      <c r="K35" s="26"/>
      <c r="L35" s="27"/>
      <c r="M3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5" s="38">
        <f>tblDonnées[[#This Row],[MONTANT OPERATION]]+tblDonnées[[#This Row],[POS  FUSIONNEE CPTE AVANT OP]]</f>
        <v>0</v>
      </c>
      <c r="O35" s="17" t="str">
        <f>IF(ISBLANK(tblDonnées[[#This Row],[MONTANT AUTO]]), "N/A", ABS(tblDonnées[[#This Row],[POS  FUSIONNEE CPTE APRES OP]])-ABS(tblDonnées[[#This Row],[MONTANT AUTO]]))</f>
        <v>N/A</v>
      </c>
      <c r="P35" s="39" t="e">
        <f>tblDonnées[[#This Row],[DEPASSEMENT TOTAL SUR AUTO
]]/-tblDonnées[[#This Row],[MONTANT AUTO]]</f>
        <v>#VALUE!</v>
      </c>
      <c r="Q35" s="13"/>
      <c r="R35" s="13"/>
      <c r="S35" s="13"/>
      <c r="T35" s="17">
        <f>IF(tblDonnées[[#This Row],[0,5% du dép]]&lt;5000,5000,IF(tblDonnées[[#This Row],[0,5% du dép]]&gt;50000,50000,tblDonnées[[#This Row],[0,5% du dép]]))</f>
        <v>5000</v>
      </c>
      <c r="U35" s="10">
        <f>ABS(tblDonnées[[#This Row],[MONTANT DEPASSEMENT]]*0.005)</f>
        <v>0</v>
      </c>
      <c r="V35" s="13"/>
      <c r="Z35" s="70"/>
      <c r="AA35" s="8"/>
    </row>
    <row r="36" spans="1:27" s="10" customFormat="1" x14ac:dyDescent="0.25">
      <c r="A36" s="30"/>
      <c r="B36" s="12"/>
      <c r="C36" s="13"/>
      <c r="D36" s="41"/>
      <c r="E36" s="48"/>
      <c r="F36" s="21"/>
      <c r="G36" s="13"/>
      <c r="H36" s="21"/>
      <c r="I36" s="31"/>
      <c r="J36" s="31"/>
      <c r="K36" s="15"/>
      <c r="L36" s="16"/>
      <c r="M3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6" s="38">
        <f>tblDonnées[[#This Row],[MONTANT OPERATION]]+tblDonnées[[#This Row],[POS  FUSIONNEE CPTE AVANT OP]]</f>
        <v>0</v>
      </c>
      <c r="O36" s="17" t="str">
        <f>IF(ISBLANK(tblDonnées[[#This Row],[MONTANT AUTO]]), "N/A", ABS(tblDonnées[[#This Row],[POS  FUSIONNEE CPTE APRES OP]])-ABS(tblDonnées[[#This Row],[MONTANT AUTO]]))</f>
        <v>N/A</v>
      </c>
      <c r="P36" s="39" t="e">
        <f>tblDonnées[[#This Row],[DEPASSEMENT TOTAL SUR AUTO
]]/-tblDonnées[[#This Row],[MONTANT AUTO]]</f>
        <v>#VALUE!</v>
      </c>
      <c r="Q36" s="13"/>
      <c r="R36" s="13"/>
      <c r="S36" s="13"/>
      <c r="T36" s="17">
        <f>IF(tblDonnées[[#This Row],[0,5% du dép]]&lt;5000,5000,IF(tblDonnées[[#This Row],[0,5% du dép]]&gt;50000,50000,tblDonnées[[#This Row],[0,5% du dép]]))</f>
        <v>5000</v>
      </c>
      <c r="U36" s="10">
        <f>ABS(tblDonnées[[#This Row],[MONTANT DEPASSEMENT]]*0.005)</f>
        <v>0</v>
      </c>
      <c r="V36" s="13"/>
      <c r="Z36" s="70"/>
      <c r="AA36" s="8"/>
    </row>
    <row r="37" spans="1:27" s="10" customFormat="1" x14ac:dyDescent="0.25">
      <c r="A37" s="30"/>
      <c r="B37" s="12"/>
      <c r="D37" s="41"/>
      <c r="E37" s="48"/>
      <c r="F37" s="41"/>
      <c r="G37" s="13"/>
      <c r="H37" s="21"/>
      <c r="J37" s="23"/>
      <c r="K37" s="15"/>
      <c r="L37" s="16"/>
      <c r="M3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7" s="38">
        <f>tblDonnées[[#This Row],[MONTANT OPERATION]]+tblDonnées[[#This Row],[POS  FUSIONNEE CPTE AVANT OP]]</f>
        <v>0</v>
      </c>
      <c r="O37" s="17" t="str">
        <f>IF(ISBLANK(tblDonnées[[#This Row],[MONTANT AUTO]]), "N/A", ABS(tblDonnées[[#This Row],[POS  FUSIONNEE CPTE APRES OP]])-ABS(tblDonnées[[#This Row],[MONTANT AUTO]]))</f>
        <v>N/A</v>
      </c>
      <c r="P37" s="39" t="e">
        <f>tblDonnées[[#This Row],[DEPASSEMENT TOTAL SUR AUTO
]]/-tblDonnées[[#This Row],[MONTANT AUTO]]</f>
        <v>#VALUE!</v>
      </c>
      <c r="Q37" s="13"/>
      <c r="R37" s="13"/>
      <c r="S37" s="13"/>
      <c r="T37" s="17">
        <f>IF(tblDonnées[[#This Row],[0,5% du dép]]&lt;5000,5000,IF(tblDonnées[[#This Row],[0,5% du dép]]&gt;50000,50000,tblDonnées[[#This Row],[0,5% du dép]]))</f>
        <v>5000</v>
      </c>
      <c r="U37" s="10">
        <f>ABS(tblDonnées[[#This Row],[MONTANT DEPASSEMENT]]*0.005)</f>
        <v>0</v>
      </c>
      <c r="V37" s="13"/>
      <c r="Z37" s="70"/>
      <c r="AA37" s="8"/>
    </row>
    <row r="38" spans="1:27" s="10" customFormat="1" x14ac:dyDescent="0.25">
      <c r="A38" s="30"/>
      <c r="B38" s="12"/>
      <c r="C38" s="13"/>
      <c r="D38" s="41"/>
      <c r="E38" s="48"/>
      <c r="F38" s="41"/>
      <c r="G38" s="13"/>
      <c r="H38" s="21"/>
      <c r="J38" s="23"/>
      <c r="K38" s="15"/>
      <c r="L38" s="16"/>
      <c r="M3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8" s="38">
        <f>tblDonnées[[#This Row],[MONTANT OPERATION]]+tblDonnées[[#This Row],[POS  FUSIONNEE CPTE AVANT OP]]</f>
        <v>0</v>
      </c>
      <c r="O38" s="17" t="str">
        <f>IF(ISBLANK(tblDonnées[[#This Row],[MONTANT AUTO]]), "N/A", ABS(tblDonnées[[#This Row],[POS  FUSIONNEE CPTE APRES OP]])-ABS(tblDonnées[[#This Row],[MONTANT AUTO]]))</f>
        <v>N/A</v>
      </c>
      <c r="P38" s="39" t="e">
        <f>tblDonnées[[#This Row],[DEPASSEMENT TOTAL SUR AUTO
]]/-tblDonnées[[#This Row],[MONTANT AUTO]]</f>
        <v>#VALUE!</v>
      </c>
      <c r="Q38" s="13"/>
      <c r="R38" s="13"/>
      <c r="S38" s="13"/>
      <c r="T38" s="17">
        <f>IF(tblDonnées[[#This Row],[0,5% du dép]]&lt;5000,5000,IF(tblDonnées[[#This Row],[0,5% du dép]]&gt;50000,50000,tblDonnées[[#This Row],[0,5% du dép]]))</f>
        <v>5000</v>
      </c>
      <c r="U38" s="10">
        <f>ABS(tblDonnées[[#This Row],[MONTANT DEPASSEMENT]]*0.005)</f>
        <v>0</v>
      </c>
      <c r="V38" s="13"/>
      <c r="Z38" s="70"/>
      <c r="AA38" s="8"/>
    </row>
    <row r="39" spans="1:27" s="10" customFormat="1" x14ac:dyDescent="0.25">
      <c r="A39" s="30"/>
      <c r="B39" s="12"/>
      <c r="D39" s="41"/>
      <c r="E39" s="48"/>
      <c r="F39" s="41"/>
      <c r="G39" s="13"/>
      <c r="H39" s="21"/>
      <c r="I39" s="23"/>
      <c r="J39" s="14"/>
      <c r="K39" s="15"/>
      <c r="L39" s="16"/>
      <c r="M3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9" s="38">
        <f>tblDonnées[[#This Row],[MONTANT OPERATION]]+tblDonnées[[#This Row],[POS  FUSIONNEE CPTE AVANT OP]]</f>
        <v>0</v>
      </c>
      <c r="O39" s="17" t="str">
        <f>IF(ISBLANK(tblDonnées[[#This Row],[MONTANT AUTO]]), "N/A", ABS(tblDonnées[[#This Row],[POS  FUSIONNEE CPTE APRES OP]])-ABS(tblDonnées[[#This Row],[MONTANT AUTO]]))</f>
        <v>N/A</v>
      </c>
      <c r="P39" s="39" t="e">
        <f>tblDonnées[[#This Row],[DEPASSEMENT TOTAL SUR AUTO
]]/-tblDonnées[[#This Row],[MONTANT AUTO]]</f>
        <v>#VALUE!</v>
      </c>
      <c r="T39" s="17">
        <f>IF(tblDonnées[[#This Row],[0,5% du dép]]&lt;5000,5000,IF(tblDonnées[[#This Row],[0,5% du dép]]&gt;50000,50000,tblDonnées[[#This Row],[0,5% du dép]]))</f>
        <v>5000</v>
      </c>
      <c r="U39" s="10">
        <f>ABS(tblDonnées[[#This Row],[MONTANT DEPASSEMENT]]*0.005)</f>
        <v>0</v>
      </c>
      <c r="Z39" s="70"/>
      <c r="AA39" s="8"/>
    </row>
    <row r="40" spans="1:27" s="10" customFormat="1" x14ac:dyDescent="0.25">
      <c r="A40" s="30"/>
      <c r="B40" s="12"/>
      <c r="D40" s="41"/>
      <c r="E40" s="48"/>
      <c r="F40" s="21"/>
      <c r="G40" s="13"/>
      <c r="H40" s="21"/>
      <c r="I40" s="23"/>
      <c r="J40" s="23"/>
      <c r="K40" s="15"/>
      <c r="L40" s="16"/>
      <c r="M4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0" s="38">
        <f>tblDonnées[[#This Row],[MONTANT OPERATION]]+tblDonnées[[#This Row],[POS  FUSIONNEE CPTE AVANT OP]]</f>
        <v>0</v>
      </c>
      <c r="O40" s="17" t="str">
        <f>IF(ISBLANK(tblDonnées[[#This Row],[MONTANT AUTO]]), "N/A", ABS(tblDonnées[[#This Row],[POS  FUSIONNEE CPTE APRES OP]])-ABS(tblDonnées[[#This Row],[MONTANT AUTO]]))</f>
        <v>N/A</v>
      </c>
      <c r="P40" s="39" t="e">
        <f>tblDonnées[[#This Row],[DEPASSEMENT TOTAL SUR AUTO
]]/-tblDonnées[[#This Row],[MONTANT AUTO]]</f>
        <v>#VALUE!</v>
      </c>
      <c r="Q40" s="13"/>
      <c r="R40" s="13"/>
      <c r="S40" s="13"/>
      <c r="T40" s="17">
        <f>IF(tblDonnées[[#This Row],[0,5% du dép]]&lt;5000,5000,IF(tblDonnées[[#This Row],[0,5% du dép]]&gt;50000,50000,tblDonnées[[#This Row],[0,5% du dép]]))</f>
        <v>5000</v>
      </c>
      <c r="U40" s="10">
        <f>ABS(tblDonnées[[#This Row],[MONTANT DEPASSEMENT]]*0.005)</f>
        <v>0</v>
      </c>
      <c r="V40" s="13"/>
      <c r="Z40" s="70"/>
      <c r="AA40" s="8"/>
    </row>
    <row r="41" spans="1:27" s="10" customFormat="1" x14ac:dyDescent="0.25">
      <c r="A41" s="30"/>
      <c r="B41" s="12"/>
      <c r="D41" s="41"/>
      <c r="E41" s="48"/>
      <c r="F41" s="21"/>
      <c r="G41" s="13"/>
      <c r="H41" s="21"/>
      <c r="I41" s="13"/>
      <c r="J41" s="23"/>
      <c r="K41" s="15"/>
      <c r="L41" s="16"/>
      <c r="M4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1" s="38">
        <f>tblDonnées[[#This Row],[MONTANT OPERATION]]+tblDonnées[[#This Row],[POS  FUSIONNEE CPTE AVANT OP]]</f>
        <v>0</v>
      </c>
      <c r="O41" s="17" t="str">
        <f>IF(ISBLANK(tblDonnées[[#This Row],[MONTANT AUTO]]), "N/A", ABS(tblDonnées[[#This Row],[POS  FUSIONNEE CPTE APRES OP]])-ABS(tblDonnées[[#This Row],[MONTANT AUTO]]))</f>
        <v>N/A</v>
      </c>
      <c r="P41" s="39" t="e">
        <f>tblDonnées[[#This Row],[DEPASSEMENT TOTAL SUR AUTO
]]/-tblDonnées[[#This Row],[MONTANT AUTO]]</f>
        <v>#VALUE!</v>
      </c>
      <c r="Q41" s="13"/>
      <c r="R41" s="13"/>
      <c r="S41" s="13"/>
      <c r="T41" s="17">
        <f>IF(tblDonnées[[#This Row],[0,5% du dép]]&lt;5000,5000,IF(tblDonnées[[#This Row],[0,5% du dép]]&gt;50000,50000,tblDonnées[[#This Row],[0,5% du dép]]))</f>
        <v>5000</v>
      </c>
      <c r="U41" s="10">
        <f>ABS(tblDonnées[[#This Row],[MONTANT DEPASSEMENT]]*0.005)</f>
        <v>0</v>
      </c>
      <c r="V41" s="13"/>
      <c r="Z41" s="70"/>
      <c r="AA41" s="8"/>
    </row>
    <row r="42" spans="1:27" s="10" customFormat="1" x14ac:dyDescent="0.25">
      <c r="A42" s="30"/>
      <c r="B42" s="12"/>
      <c r="D42" s="41"/>
      <c r="E42" s="48"/>
      <c r="F42" s="21"/>
      <c r="G42" s="13"/>
      <c r="H42" s="21"/>
      <c r="I42" s="13"/>
      <c r="J42" s="23"/>
      <c r="K42" s="15"/>
      <c r="L42" s="16"/>
      <c r="M4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2" s="38">
        <f>tblDonnées[[#This Row],[MONTANT OPERATION]]+tblDonnées[[#This Row],[POS  FUSIONNEE CPTE AVANT OP]]</f>
        <v>0</v>
      </c>
      <c r="O42" s="17" t="str">
        <f>IF(ISBLANK(tblDonnées[[#This Row],[MONTANT AUTO]]), "N/A", ABS(tblDonnées[[#This Row],[POS  FUSIONNEE CPTE APRES OP]])-ABS(tblDonnées[[#This Row],[MONTANT AUTO]]))</f>
        <v>N/A</v>
      </c>
      <c r="P42" s="39" t="e">
        <f>tblDonnées[[#This Row],[DEPASSEMENT TOTAL SUR AUTO
]]/-tblDonnées[[#This Row],[MONTANT AUTO]]</f>
        <v>#VALUE!</v>
      </c>
      <c r="Q42" s="13"/>
      <c r="R42" s="13"/>
      <c r="S42" s="13"/>
      <c r="T42" s="17">
        <f>IF(tblDonnées[[#This Row],[0,5% du dép]]&lt;5000,5000,IF(tblDonnées[[#This Row],[0,5% du dép]]&gt;50000,50000,tblDonnées[[#This Row],[0,5% du dép]]))</f>
        <v>5000</v>
      </c>
      <c r="U42" s="10">
        <f>ABS(tblDonnées[[#This Row],[MONTANT DEPASSEMENT]]*0.005)</f>
        <v>0</v>
      </c>
      <c r="V42" s="13"/>
      <c r="Z42" s="70"/>
      <c r="AA42" s="8"/>
    </row>
    <row r="43" spans="1:27" s="10" customFormat="1" x14ac:dyDescent="0.25">
      <c r="A43" s="30"/>
      <c r="B43" s="12"/>
      <c r="C43" s="13"/>
      <c r="D43" s="41"/>
      <c r="E43" s="48"/>
      <c r="F43" s="41"/>
      <c r="G43" s="13"/>
      <c r="H43" s="21"/>
      <c r="I43" s="23"/>
      <c r="J43" s="14"/>
      <c r="K43" s="15"/>
      <c r="L43" s="16"/>
      <c r="M4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3" s="38">
        <f>tblDonnées[[#This Row],[MONTANT OPERATION]]+tblDonnées[[#This Row],[POS  FUSIONNEE CPTE AVANT OP]]</f>
        <v>0</v>
      </c>
      <c r="O43" s="17" t="str">
        <f>IF(ISBLANK(tblDonnées[[#This Row],[MONTANT AUTO]]), "N/A", ABS(tblDonnées[[#This Row],[POS  FUSIONNEE CPTE APRES OP]])-ABS(tblDonnées[[#This Row],[MONTANT AUTO]]))</f>
        <v>N/A</v>
      </c>
      <c r="P43" s="39" t="e">
        <f>tblDonnées[[#This Row],[DEPASSEMENT TOTAL SUR AUTO
]]/-tblDonnées[[#This Row],[MONTANT AUTO]]</f>
        <v>#VALUE!</v>
      </c>
      <c r="S43" s="13"/>
      <c r="T43" s="17">
        <f>IF(tblDonnées[[#This Row],[0,5% du dép]]&lt;5000,5000,IF(tblDonnées[[#This Row],[0,5% du dép]]&gt;50000,50000,tblDonnées[[#This Row],[0,5% du dép]]))</f>
        <v>5000</v>
      </c>
      <c r="U43" s="10">
        <f>ABS(tblDonnées[[#This Row],[MONTANT DEPASSEMENT]]*0.005)</f>
        <v>0</v>
      </c>
      <c r="Z43" s="70"/>
      <c r="AA43" s="8"/>
    </row>
    <row r="44" spans="1:27" s="10" customFormat="1" x14ac:dyDescent="0.25">
      <c r="A44" s="30"/>
      <c r="B44" s="12"/>
      <c r="D44" s="41"/>
      <c r="E44" s="48"/>
      <c r="F44" s="21"/>
      <c r="G44" s="13"/>
      <c r="H44" s="21"/>
      <c r="I44" s="23"/>
      <c r="J44" s="23"/>
      <c r="K44" s="15"/>
      <c r="L44" s="16"/>
      <c r="M4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4" s="38">
        <f>tblDonnées[[#This Row],[MONTANT OPERATION]]+tblDonnées[[#This Row],[POS  FUSIONNEE CPTE AVANT OP]]</f>
        <v>0</v>
      </c>
      <c r="O44" s="17" t="str">
        <f>IF(ISBLANK(tblDonnées[[#This Row],[MONTANT AUTO]]), "N/A", ABS(tblDonnées[[#This Row],[POS  FUSIONNEE CPTE APRES OP]])-ABS(tblDonnées[[#This Row],[MONTANT AUTO]]))</f>
        <v>N/A</v>
      </c>
      <c r="P44" s="39" t="e">
        <f>tblDonnées[[#This Row],[DEPASSEMENT TOTAL SUR AUTO
]]/-tblDonnées[[#This Row],[MONTANT AUTO]]</f>
        <v>#VALUE!</v>
      </c>
      <c r="Q44" s="13"/>
      <c r="R44" s="13"/>
      <c r="S44" s="13"/>
      <c r="T44" s="17">
        <f>IF(tblDonnées[[#This Row],[0,5% du dép]]&lt;5000,5000,IF(tblDonnées[[#This Row],[0,5% du dép]]&gt;50000,50000,tblDonnées[[#This Row],[0,5% du dép]]))</f>
        <v>5000</v>
      </c>
      <c r="U44" s="10">
        <f>ABS(tblDonnées[[#This Row],[MONTANT DEPASSEMENT]]*0.005)</f>
        <v>0</v>
      </c>
      <c r="V44" s="13"/>
      <c r="Z44" s="70"/>
      <c r="AA44" s="8"/>
    </row>
    <row r="45" spans="1:27" s="10" customFormat="1" x14ac:dyDescent="0.25">
      <c r="A45" s="30"/>
      <c r="B45" s="12"/>
      <c r="C45" s="13"/>
      <c r="D45" s="41"/>
      <c r="E45" s="21"/>
      <c r="F45" s="21"/>
      <c r="G45" s="13"/>
      <c r="H45" s="21"/>
      <c r="I45" s="13"/>
      <c r="J45" s="23"/>
      <c r="K45" s="15"/>
      <c r="L45" s="16"/>
      <c r="M4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5" s="38">
        <f>tblDonnées[[#This Row],[MONTANT OPERATION]]+tblDonnées[[#This Row],[POS  FUSIONNEE CPTE AVANT OP]]</f>
        <v>0</v>
      </c>
      <c r="O45" s="17" t="str">
        <f>IF(ISBLANK(tblDonnées[[#This Row],[MONTANT AUTO]]), "N/A", ABS(tblDonnées[[#This Row],[POS  FUSIONNEE CPTE APRES OP]])-ABS(tblDonnées[[#This Row],[MONTANT AUTO]]))</f>
        <v>N/A</v>
      </c>
      <c r="P45" s="39" t="e">
        <f>tblDonnées[[#This Row],[DEPASSEMENT TOTAL SUR AUTO
]]/-tblDonnées[[#This Row],[MONTANT AUTO]]</f>
        <v>#VALUE!</v>
      </c>
      <c r="Q45" s="13"/>
      <c r="R45" s="13"/>
      <c r="S45" s="13"/>
      <c r="T45" s="17">
        <f>IF(tblDonnées[[#This Row],[0,5% du dép]]&lt;5000,5000,IF(tblDonnées[[#This Row],[0,5% du dép]]&gt;50000,50000,tblDonnées[[#This Row],[0,5% du dép]]))</f>
        <v>5000</v>
      </c>
      <c r="U45" s="10">
        <f>ABS(tblDonnées[[#This Row],[MONTANT DEPASSEMENT]]*0.005)</f>
        <v>0</v>
      </c>
      <c r="V45" s="13"/>
      <c r="Z45" s="70"/>
      <c r="AA45" s="8"/>
    </row>
    <row r="46" spans="1:27" s="10" customFormat="1" x14ac:dyDescent="0.25">
      <c r="A46" s="30"/>
      <c r="B46" s="12"/>
      <c r="C46" s="13"/>
      <c r="D46" s="41"/>
      <c r="E46" s="41"/>
      <c r="F46" s="21"/>
      <c r="G46" s="13"/>
      <c r="H46" s="21"/>
      <c r="I46" s="13"/>
      <c r="J46" s="31"/>
      <c r="K46" s="26"/>
      <c r="L46" s="27"/>
      <c r="M4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6" s="38">
        <f>tblDonnées[[#This Row],[MONTANT OPERATION]]+tblDonnées[[#This Row],[POS  FUSIONNEE CPTE AVANT OP]]</f>
        <v>0</v>
      </c>
      <c r="O46" s="17" t="str">
        <f>IF(ISBLANK(tblDonnées[[#This Row],[MONTANT AUTO]]), "N/A", ABS(tblDonnées[[#This Row],[POS  FUSIONNEE CPTE APRES OP]])-ABS(tblDonnées[[#This Row],[MONTANT AUTO]]))</f>
        <v>N/A</v>
      </c>
      <c r="P46" s="39" t="e">
        <f>tblDonnées[[#This Row],[DEPASSEMENT TOTAL SUR AUTO
]]/-tblDonnées[[#This Row],[MONTANT AUTO]]</f>
        <v>#VALUE!</v>
      </c>
      <c r="Q46" s="13"/>
      <c r="R46" s="13"/>
      <c r="S46" s="13"/>
      <c r="T46" s="17">
        <f>IF(tblDonnées[[#This Row],[0,5% du dép]]&lt;5000,5000,IF(tblDonnées[[#This Row],[0,5% du dép]]&gt;50000,50000,tblDonnées[[#This Row],[0,5% du dép]]))</f>
        <v>5000</v>
      </c>
      <c r="U46" s="10">
        <f>ABS(tblDonnées[[#This Row],[MONTANT DEPASSEMENT]]*0.005)</f>
        <v>0</v>
      </c>
      <c r="V46" s="13"/>
      <c r="Z46" s="70"/>
      <c r="AA46" s="8"/>
    </row>
    <row r="47" spans="1:27" s="10" customFormat="1" ht="15" customHeight="1" x14ac:dyDescent="0.25">
      <c r="A47" s="30"/>
      <c r="B47" s="12"/>
      <c r="C47" s="13"/>
      <c r="D47" s="41"/>
      <c r="E47" s="12"/>
      <c r="F47" s="11"/>
      <c r="G47" s="13"/>
      <c r="H47" s="21"/>
      <c r="I47" s="1"/>
      <c r="J47" s="23"/>
      <c r="K47" s="15"/>
      <c r="L47" s="16"/>
      <c r="M4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7" s="38">
        <f>tblDonnées[[#This Row],[MONTANT OPERATION]]+tblDonnées[[#This Row],[POS  FUSIONNEE CPTE AVANT OP]]</f>
        <v>0</v>
      </c>
      <c r="O47" s="17" t="str">
        <f>IF(ISBLANK(tblDonnées[[#This Row],[MONTANT AUTO]]), "N/A", ABS(tblDonnées[[#This Row],[POS  FUSIONNEE CPTE APRES OP]])-ABS(tblDonnées[[#This Row],[MONTANT AUTO]]))</f>
        <v>N/A</v>
      </c>
      <c r="P47" s="39" t="e">
        <f>tblDonnées[[#This Row],[DEPASSEMENT TOTAL SUR AUTO
]]/-tblDonnées[[#This Row],[MONTANT AUTO]]</f>
        <v>#VALUE!</v>
      </c>
      <c r="Q47" s="13"/>
      <c r="R47" s="13"/>
      <c r="S47" s="13"/>
      <c r="T47" s="17">
        <f>IF(tblDonnées[[#This Row],[0,5% du dép]]&lt;5000,5000,IF(tblDonnées[[#This Row],[0,5% du dép]]&gt;50000,50000,tblDonnées[[#This Row],[0,5% du dép]]))</f>
        <v>5000</v>
      </c>
      <c r="U47" s="10">
        <f>ABS(tblDonnées[[#This Row],[MONTANT DEPASSEMENT]]*0.005)</f>
        <v>0</v>
      </c>
      <c r="V47" s="13"/>
      <c r="Z47" s="70"/>
      <c r="AA47" s="8"/>
    </row>
    <row r="48" spans="1:27" s="10" customFormat="1" x14ac:dyDescent="0.25">
      <c r="A48" s="30"/>
      <c r="B48" s="12"/>
      <c r="C48" s="13"/>
      <c r="D48" s="41"/>
      <c r="E48" s="12"/>
      <c r="F48" s="11"/>
      <c r="G48" s="13"/>
      <c r="H48" s="21"/>
      <c r="I48" s="13"/>
      <c r="J48" s="23"/>
      <c r="K48" s="15"/>
      <c r="L48" s="16"/>
      <c r="M4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8" s="38">
        <f>tblDonnées[[#This Row],[MONTANT OPERATION]]+tblDonnées[[#This Row],[POS  FUSIONNEE CPTE AVANT OP]]</f>
        <v>0</v>
      </c>
      <c r="O48" s="17" t="str">
        <f>IF(ISBLANK(tblDonnées[[#This Row],[MONTANT AUTO]]), "N/A", ABS(tblDonnées[[#This Row],[POS  FUSIONNEE CPTE APRES OP]])-ABS(tblDonnées[[#This Row],[MONTANT AUTO]]))</f>
        <v>N/A</v>
      </c>
      <c r="P48" s="39" t="e">
        <f>tblDonnées[[#This Row],[DEPASSEMENT TOTAL SUR AUTO
]]/-tblDonnées[[#This Row],[MONTANT AUTO]]</f>
        <v>#VALUE!</v>
      </c>
      <c r="Q48" s="13"/>
      <c r="R48" s="13"/>
      <c r="S48" s="13"/>
      <c r="T48" s="17">
        <f>IF(tblDonnées[[#This Row],[0,5% du dép]]&lt;5000,5000,IF(tblDonnées[[#This Row],[0,5% du dép]]&gt;50000,50000,tblDonnées[[#This Row],[0,5% du dép]]))</f>
        <v>5000</v>
      </c>
      <c r="U48" s="10">
        <f>ABS(tblDonnées[[#This Row],[MONTANT DEPASSEMENT]]*0.005)</f>
        <v>0</v>
      </c>
      <c r="V48" s="13"/>
      <c r="Z48" s="70"/>
      <c r="AA48" s="8"/>
    </row>
    <row r="49" spans="1:27" s="10" customFormat="1" x14ac:dyDescent="0.25">
      <c r="A49" s="30"/>
      <c r="B49" s="12"/>
      <c r="D49" s="41"/>
      <c r="E49" s="11"/>
      <c r="F49" s="12"/>
      <c r="G49" s="13"/>
      <c r="H49" s="21"/>
      <c r="I49" s="23"/>
      <c r="J49" s="23"/>
      <c r="K49" s="15"/>
      <c r="L49" s="16"/>
      <c r="M4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9" s="38">
        <f>tblDonnées[[#This Row],[MONTANT OPERATION]]+tblDonnées[[#This Row],[POS  FUSIONNEE CPTE AVANT OP]]</f>
        <v>0</v>
      </c>
      <c r="O49" s="17" t="str">
        <f>IF(ISBLANK(tblDonnées[[#This Row],[MONTANT AUTO]]), "N/A", ABS(tblDonnées[[#This Row],[POS  FUSIONNEE CPTE APRES OP]])-ABS(tblDonnées[[#This Row],[MONTANT AUTO]]))</f>
        <v>N/A</v>
      </c>
      <c r="P49" s="39" t="e">
        <f>tblDonnées[[#This Row],[DEPASSEMENT TOTAL SUR AUTO
]]/-tblDonnées[[#This Row],[MONTANT AUTO]]</f>
        <v>#VALUE!</v>
      </c>
      <c r="Q49" s="13"/>
      <c r="R49" s="13"/>
      <c r="S49" s="13"/>
      <c r="T49" s="17">
        <f>IF(tblDonnées[[#This Row],[0,5% du dép]]&lt;5000,5000,IF(tblDonnées[[#This Row],[0,5% du dép]]&gt;50000,50000,tblDonnées[[#This Row],[0,5% du dép]]))</f>
        <v>5000</v>
      </c>
      <c r="U49" s="10">
        <f>ABS(tblDonnées[[#This Row],[MONTANT DEPASSEMENT]]*0.005)</f>
        <v>0</v>
      </c>
      <c r="V49" s="13"/>
      <c r="Z49" s="70"/>
      <c r="AA49" s="8"/>
    </row>
    <row r="50" spans="1:27" s="10" customFormat="1" x14ac:dyDescent="0.25">
      <c r="A50" s="30"/>
      <c r="B50" s="12"/>
      <c r="C50" s="13"/>
      <c r="D50" s="41"/>
      <c r="E50" s="11"/>
      <c r="F50" s="12"/>
      <c r="G50" s="13"/>
      <c r="H50" s="21"/>
      <c r="I50" s="23"/>
      <c r="J50" s="23"/>
      <c r="K50" s="15"/>
      <c r="L50" s="22"/>
      <c r="M5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0" s="38">
        <f>tblDonnées[[#This Row],[MONTANT OPERATION]]+tblDonnées[[#This Row],[POS  FUSIONNEE CPTE AVANT OP]]</f>
        <v>0</v>
      </c>
      <c r="O50" s="17" t="str">
        <f>IF(ISBLANK(tblDonnées[[#This Row],[MONTANT AUTO]]), "N/A", ABS(tblDonnées[[#This Row],[POS  FUSIONNEE CPTE APRES OP]])-ABS(tblDonnées[[#This Row],[MONTANT AUTO]]))</f>
        <v>N/A</v>
      </c>
      <c r="P50" s="39" t="e">
        <f>tblDonnées[[#This Row],[DEPASSEMENT TOTAL SUR AUTO
]]/-tblDonnées[[#This Row],[MONTANT AUTO]]</f>
        <v>#VALUE!</v>
      </c>
      <c r="Q50" s="13"/>
      <c r="R50" s="13"/>
      <c r="S50" s="13"/>
      <c r="T50" s="17">
        <f>IF(tblDonnées[[#This Row],[0,5% du dép]]&lt;5000,5000,IF(tblDonnées[[#This Row],[0,5% du dép]]&gt;50000,50000,tblDonnées[[#This Row],[0,5% du dép]]))</f>
        <v>5000</v>
      </c>
      <c r="U50" s="10">
        <f>ABS(tblDonnées[[#This Row],[MONTANT DEPASSEMENT]]*0.005)</f>
        <v>0</v>
      </c>
      <c r="V50" s="13"/>
      <c r="Z50" s="70"/>
      <c r="AA50" s="8"/>
    </row>
    <row r="51" spans="1:27" s="10" customFormat="1" x14ac:dyDescent="0.25">
      <c r="A51" s="30"/>
      <c r="B51" s="12"/>
      <c r="C51" s="13"/>
      <c r="D51" s="41"/>
      <c r="E51" s="11"/>
      <c r="F51" s="12"/>
      <c r="G51" s="13"/>
      <c r="H51" s="21"/>
      <c r="I51" s="13"/>
      <c r="J51" s="23"/>
      <c r="K51" s="15"/>
      <c r="L51" s="22"/>
      <c r="M5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1" s="38">
        <f>tblDonnées[[#This Row],[MONTANT OPERATION]]+tblDonnées[[#This Row],[POS  FUSIONNEE CPTE AVANT OP]]</f>
        <v>0</v>
      </c>
      <c r="O51" s="17" t="str">
        <f>IF(ISBLANK(tblDonnées[[#This Row],[MONTANT AUTO]]), "N/A", ABS(tblDonnées[[#This Row],[POS  FUSIONNEE CPTE APRES OP]])-ABS(tblDonnées[[#This Row],[MONTANT AUTO]]))</f>
        <v>N/A</v>
      </c>
      <c r="P51" s="39" t="e">
        <f>tblDonnées[[#This Row],[DEPASSEMENT TOTAL SUR AUTO
]]/-tblDonnées[[#This Row],[MONTANT AUTO]]</f>
        <v>#VALUE!</v>
      </c>
      <c r="Q51" s="13"/>
      <c r="R51" s="13"/>
      <c r="S51" s="13"/>
      <c r="T51" s="17">
        <f>IF(tblDonnées[[#This Row],[0,5% du dép]]&lt;5000,5000,IF(tblDonnées[[#This Row],[0,5% du dép]]&gt;50000,50000,tblDonnées[[#This Row],[0,5% du dép]]))</f>
        <v>5000</v>
      </c>
      <c r="U51" s="10">
        <f>ABS(tblDonnées[[#This Row],[MONTANT DEPASSEMENT]]*0.005)</f>
        <v>0</v>
      </c>
      <c r="V51" s="13"/>
      <c r="Z51" s="70"/>
      <c r="AA51" s="8"/>
    </row>
    <row r="52" spans="1:27" s="10" customFormat="1" x14ac:dyDescent="0.25">
      <c r="A52" s="30"/>
      <c r="B52" s="12"/>
      <c r="C52" s="13"/>
      <c r="D52" s="41"/>
      <c r="E52" s="24"/>
      <c r="F52" s="12"/>
      <c r="G52" s="13"/>
      <c r="H52" s="21"/>
      <c r="I52" s="13"/>
      <c r="J52" s="14"/>
      <c r="K52" s="15"/>
      <c r="L52" s="22"/>
      <c r="M5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2" s="38">
        <f>tblDonnées[[#This Row],[MONTANT OPERATION]]+tblDonnées[[#This Row],[POS  FUSIONNEE CPTE AVANT OP]]</f>
        <v>0</v>
      </c>
      <c r="O52" s="17" t="str">
        <f>IF(ISBLANK(tblDonnées[[#This Row],[MONTANT AUTO]]), "N/A", ABS(tblDonnées[[#This Row],[POS  FUSIONNEE CPTE APRES OP]])-ABS(tblDonnées[[#This Row],[MONTANT AUTO]]))</f>
        <v>N/A</v>
      </c>
      <c r="P52" s="39" t="e">
        <f>tblDonnées[[#This Row],[DEPASSEMENT TOTAL SUR AUTO
]]/-tblDonnées[[#This Row],[MONTANT AUTO]]</f>
        <v>#VALUE!</v>
      </c>
      <c r="S52" s="13"/>
      <c r="T52" s="17">
        <f>IF(tblDonnées[[#This Row],[0,5% du dép]]&lt;5000,5000,IF(tblDonnées[[#This Row],[0,5% du dép]]&gt;50000,50000,tblDonnées[[#This Row],[0,5% du dép]]))</f>
        <v>5000</v>
      </c>
      <c r="U52" s="10">
        <f>ABS(tblDonnées[[#This Row],[MONTANT DEPASSEMENT]]*0.005)</f>
        <v>0</v>
      </c>
      <c r="Z52" s="70"/>
      <c r="AA52" s="8"/>
    </row>
    <row r="53" spans="1:27" s="10" customFormat="1" x14ac:dyDescent="0.25">
      <c r="A53" s="30"/>
      <c r="B53" s="12"/>
      <c r="C53" s="13"/>
      <c r="D53" s="41"/>
      <c r="E53" s="11"/>
      <c r="F53" s="12"/>
      <c r="G53" s="13"/>
      <c r="H53" s="21"/>
      <c r="I53" s="13"/>
      <c r="J53" s="23"/>
      <c r="K53" s="15"/>
      <c r="L53" s="22"/>
      <c r="M5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3" s="38">
        <f>tblDonnées[[#This Row],[MONTANT OPERATION]]+tblDonnées[[#This Row],[POS  FUSIONNEE CPTE AVANT OP]]</f>
        <v>0</v>
      </c>
      <c r="O53" s="17" t="str">
        <f>IF(ISBLANK(tblDonnées[[#This Row],[MONTANT AUTO]]), "N/A", ABS(tblDonnées[[#This Row],[POS  FUSIONNEE CPTE APRES OP]])-ABS(tblDonnées[[#This Row],[MONTANT AUTO]]))</f>
        <v>N/A</v>
      </c>
      <c r="P53" s="39" t="e">
        <f>tblDonnées[[#This Row],[DEPASSEMENT TOTAL SUR AUTO
]]/-tblDonnées[[#This Row],[MONTANT AUTO]]</f>
        <v>#VALUE!</v>
      </c>
      <c r="Q53" s="13"/>
      <c r="R53" s="13"/>
      <c r="S53" s="13"/>
      <c r="T53" s="17">
        <f>IF(tblDonnées[[#This Row],[0,5% du dép]]&lt;5000,5000,IF(tblDonnées[[#This Row],[0,5% du dép]]&gt;50000,50000,tblDonnées[[#This Row],[0,5% du dép]]))</f>
        <v>5000</v>
      </c>
      <c r="U53" s="10">
        <f>ABS(tblDonnées[[#This Row],[MONTANT DEPASSEMENT]]*0.005)</f>
        <v>0</v>
      </c>
      <c r="V53" s="13"/>
      <c r="Z53" s="70"/>
      <c r="AA53" s="8"/>
    </row>
    <row r="54" spans="1:27" s="1" customFormat="1" x14ac:dyDescent="0.25">
      <c r="A54" s="30"/>
      <c r="B54" s="12"/>
      <c r="C54" s="10"/>
      <c r="D54" s="41"/>
      <c r="E54" s="24"/>
      <c r="F54" s="12"/>
      <c r="G54" s="13"/>
      <c r="H54" s="21"/>
      <c r="I54" s="23"/>
      <c r="J54" s="14"/>
      <c r="K54" s="15"/>
      <c r="L54" s="16"/>
      <c r="M5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4" s="38">
        <f>tblDonnées[[#This Row],[MONTANT OPERATION]]+tblDonnées[[#This Row],[POS  FUSIONNEE CPTE AVANT OP]]</f>
        <v>0</v>
      </c>
      <c r="O54" s="17" t="str">
        <f>IF(ISBLANK(tblDonnées[[#This Row],[MONTANT AUTO]]), "N/A", ABS(tblDonnées[[#This Row],[POS  FUSIONNEE CPTE APRES OP]])-ABS(tblDonnées[[#This Row],[MONTANT AUTO]]))</f>
        <v>N/A</v>
      </c>
      <c r="P54" s="39" t="e">
        <f>tblDonnées[[#This Row],[DEPASSEMENT TOTAL SUR AUTO
]]/-tblDonnées[[#This Row],[MONTANT AUTO]]</f>
        <v>#VALUE!</v>
      </c>
      <c r="Q54" s="10"/>
      <c r="R54" s="10"/>
      <c r="S54" s="10"/>
      <c r="T54" s="17">
        <f>IF(tblDonnées[[#This Row],[0,5% du dép]]&lt;5000,5000,IF(tblDonnées[[#This Row],[0,5% du dép]]&gt;50000,50000,tblDonnées[[#This Row],[0,5% du dép]]))</f>
        <v>5000</v>
      </c>
      <c r="U54" s="10">
        <f>ABS(tblDonnées[[#This Row],[MONTANT DEPASSEMENT]]*0.005)</f>
        <v>0</v>
      </c>
      <c r="V54" s="10"/>
      <c r="W54" s="10"/>
      <c r="X54" s="10"/>
      <c r="Y54" s="10"/>
      <c r="Z54" s="70"/>
      <c r="AA54" s="8"/>
    </row>
    <row r="55" spans="1:27" s="1" customFormat="1" x14ac:dyDescent="0.25">
      <c r="A55" s="30"/>
      <c r="B55" s="12"/>
      <c r="C55" s="10"/>
      <c r="D55" s="41"/>
      <c r="E55" s="24"/>
      <c r="F55" s="12"/>
      <c r="G55" s="13"/>
      <c r="H55" s="21"/>
      <c r="I55" s="23"/>
      <c r="J55" s="23"/>
      <c r="K55" s="15"/>
      <c r="L55" s="16"/>
      <c r="M5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5" s="38">
        <f>tblDonnées[[#This Row],[MONTANT OPERATION]]+tblDonnées[[#This Row],[POS  FUSIONNEE CPTE AVANT OP]]</f>
        <v>0</v>
      </c>
      <c r="O55" s="17" t="str">
        <f>IF(ISBLANK(tblDonnées[[#This Row],[MONTANT AUTO]]), "N/A", ABS(tblDonnées[[#This Row],[POS  FUSIONNEE CPTE APRES OP]])-ABS(tblDonnées[[#This Row],[MONTANT AUTO]]))</f>
        <v>N/A</v>
      </c>
      <c r="P55" s="39" t="e">
        <f>tblDonnées[[#This Row],[DEPASSEMENT TOTAL SUR AUTO
]]/-tblDonnées[[#This Row],[MONTANT AUTO]]</f>
        <v>#VALUE!</v>
      </c>
      <c r="Q55" s="13"/>
      <c r="R55" s="13"/>
      <c r="S55" s="10"/>
      <c r="T55" s="17">
        <f>IF(tblDonnées[[#This Row],[0,5% du dép]]&lt;5000,5000,IF(tblDonnées[[#This Row],[0,5% du dép]]&gt;50000,50000,tblDonnées[[#This Row],[0,5% du dép]]))</f>
        <v>5000</v>
      </c>
      <c r="U55" s="10">
        <f>ABS(tblDonnées[[#This Row],[MONTANT DEPASSEMENT]]*0.005)</f>
        <v>0</v>
      </c>
      <c r="V55" s="13"/>
      <c r="W55" s="10"/>
      <c r="X55" s="10"/>
      <c r="Y55" s="10"/>
      <c r="Z55" s="70"/>
      <c r="AA55" s="8"/>
    </row>
    <row r="56" spans="1:27" s="1" customFormat="1" x14ac:dyDescent="0.25">
      <c r="A56" s="30"/>
      <c r="B56" s="12"/>
      <c r="C56" s="13"/>
      <c r="D56" s="41"/>
      <c r="E56" s="12"/>
      <c r="F56" s="12"/>
      <c r="G56" s="13"/>
      <c r="H56" s="21"/>
      <c r="I56" s="13"/>
      <c r="J56" s="23"/>
      <c r="K56" s="15"/>
      <c r="L56" s="16"/>
      <c r="M5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6" s="38">
        <f>tblDonnées[[#This Row],[MONTANT OPERATION]]+tblDonnées[[#This Row],[POS  FUSIONNEE CPTE AVANT OP]]</f>
        <v>0</v>
      </c>
      <c r="O56" s="17" t="str">
        <f>IF(ISBLANK(tblDonnées[[#This Row],[MONTANT AUTO]]), "N/A", ABS(tblDonnées[[#This Row],[POS  FUSIONNEE CPTE APRES OP]])-ABS(tblDonnées[[#This Row],[MONTANT AUTO]]))</f>
        <v>N/A</v>
      </c>
      <c r="P56" s="39" t="e">
        <f>tblDonnées[[#This Row],[DEPASSEMENT TOTAL SUR AUTO
]]/-tblDonnées[[#This Row],[MONTANT AUTO]]</f>
        <v>#VALUE!</v>
      </c>
      <c r="Q56" s="13"/>
      <c r="R56" s="13"/>
      <c r="S56" s="13"/>
      <c r="T56" s="17">
        <f>IF(tblDonnées[[#This Row],[0,5% du dép]]&lt;5000,5000,IF(tblDonnées[[#This Row],[0,5% du dép]]&gt;50000,50000,tblDonnées[[#This Row],[0,5% du dép]]))</f>
        <v>5000</v>
      </c>
      <c r="U56" s="10">
        <f>ABS(tblDonnées[[#This Row],[MONTANT DEPASSEMENT]]*0.005)</f>
        <v>0</v>
      </c>
      <c r="V56" s="13"/>
      <c r="W56" s="10"/>
      <c r="X56" s="10"/>
      <c r="Y56" s="10"/>
      <c r="Z56" s="70"/>
      <c r="AA56" s="8"/>
    </row>
    <row r="57" spans="1:27" s="1" customFormat="1" x14ac:dyDescent="0.25">
      <c r="A57" s="30"/>
      <c r="B57" s="12"/>
      <c r="C57" s="10"/>
      <c r="D57" s="41"/>
      <c r="E57" s="24"/>
      <c r="F57" s="11"/>
      <c r="G57" s="13"/>
      <c r="H57" s="21"/>
      <c r="I57" s="23"/>
      <c r="J57" s="23"/>
      <c r="K57" s="15"/>
      <c r="L57" s="16"/>
      <c r="M5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7" s="38">
        <f>tblDonnées[[#This Row],[MONTANT OPERATION]]+tblDonnées[[#This Row],[POS  FUSIONNEE CPTE AVANT OP]]</f>
        <v>0</v>
      </c>
      <c r="O57" s="17" t="str">
        <f>IF(ISBLANK(tblDonnées[[#This Row],[MONTANT AUTO]]), "N/A", ABS(tblDonnées[[#This Row],[POS  FUSIONNEE CPTE APRES OP]])-ABS(tblDonnées[[#This Row],[MONTANT AUTO]]))</f>
        <v>N/A</v>
      </c>
      <c r="P57" s="39" t="e">
        <f>tblDonnées[[#This Row],[DEPASSEMENT TOTAL SUR AUTO
]]/-tblDonnées[[#This Row],[MONTANT AUTO]]</f>
        <v>#VALUE!</v>
      </c>
      <c r="Q57" s="13"/>
      <c r="R57" s="13"/>
      <c r="S57" s="13"/>
      <c r="T57" s="17">
        <f>IF(tblDonnées[[#This Row],[0,5% du dép]]&lt;5000,5000,IF(tblDonnées[[#This Row],[0,5% du dép]]&gt;50000,50000,tblDonnées[[#This Row],[0,5% du dép]]))</f>
        <v>5000</v>
      </c>
      <c r="U57" s="10">
        <f>ABS(tblDonnées[[#This Row],[MONTANT DEPASSEMENT]]*0.005)</f>
        <v>0</v>
      </c>
      <c r="V57" s="13"/>
      <c r="W57" s="10"/>
      <c r="X57" s="10"/>
      <c r="Y57" s="10"/>
      <c r="Z57" s="70"/>
      <c r="AA57" s="8"/>
    </row>
    <row r="58" spans="1:27" s="1" customFormat="1" x14ac:dyDescent="0.25">
      <c r="A58" s="30"/>
      <c r="B58" s="12"/>
      <c r="C58" s="10"/>
      <c r="D58" s="41"/>
      <c r="E58" s="24"/>
      <c r="F58" s="11"/>
      <c r="G58" s="13"/>
      <c r="H58" s="21"/>
      <c r="I58" s="10"/>
      <c r="J58" s="14"/>
      <c r="K58" s="15"/>
      <c r="L58" s="16"/>
      <c r="M5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8" s="38">
        <f>tblDonnées[[#This Row],[MONTANT OPERATION]]+tblDonnées[[#This Row],[POS  FUSIONNEE CPTE AVANT OP]]</f>
        <v>0</v>
      </c>
      <c r="O58" s="17" t="str">
        <f>IF(ISBLANK(tblDonnées[[#This Row],[MONTANT AUTO]]), "N/A", ABS(tblDonnées[[#This Row],[POS  FUSIONNEE CPTE APRES OP]])-ABS(tblDonnées[[#This Row],[MONTANT AUTO]]))</f>
        <v>N/A</v>
      </c>
      <c r="P58" s="39" t="e">
        <f>tblDonnées[[#This Row],[DEPASSEMENT TOTAL SUR AUTO
]]/-tblDonnées[[#This Row],[MONTANT AUTO]]</f>
        <v>#VALUE!</v>
      </c>
      <c r="Q58" s="13"/>
      <c r="R58" s="13"/>
      <c r="S58" s="13"/>
      <c r="T58" s="17">
        <f>IF(tblDonnées[[#This Row],[0,5% du dép]]&lt;5000,5000,IF(tblDonnées[[#This Row],[0,5% du dép]]&gt;50000,50000,tblDonnées[[#This Row],[0,5% du dép]]))</f>
        <v>5000</v>
      </c>
      <c r="U58" s="10">
        <f>ABS(tblDonnées[[#This Row],[MONTANT DEPASSEMENT]]*0.005)</f>
        <v>0</v>
      </c>
      <c r="V58" s="13"/>
      <c r="W58" s="10"/>
      <c r="X58" s="10"/>
      <c r="Y58" s="10"/>
      <c r="Z58" s="70"/>
      <c r="AA58" s="8"/>
    </row>
    <row r="59" spans="1:27" s="1" customFormat="1" x14ac:dyDescent="0.25">
      <c r="A59" s="30"/>
      <c r="B59" s="12"/>
      <c r="C59" s="13"/>
      <c r="D59" s="41"/>
      <c r="E59" s="12"/>
      <c r="F59" s="12"/>
      <c r="G59" s="13"/>
      <c r="H59" s="21"/>
      <c r="I59" s="23"/>
      <c r="J59" s="23"/>
      <c r="K59" s="15"/>
      <c r="L59" s="16"/>
      <c r="M5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9" s="38">
        <f>tblDonnées[[#This Row],[MONTANT OPERATION]]+tblDonnées[[#This Row],[POS  FUSIONNEE CPTE AVANT OP]]</f>
        <v>0</v>
      </c>
      <c r="O59" s="17" t="str">
        <f>IF(ISBLANK(tblDonnées[[#This Row],[MONTANT AUTO]]), "N/A", ABS(tblDonnées[[#This Row],[POS  FUSIONNEE CPTE APRES OP]])-ABS(tblDonnées[[#This Row],[MONTANT AUTO]]))</f>
        <v>N/A</v>
      </c>
      <c r="P59" s="39" t="e">
        <f>tblDonnées[[#This Row],[DEPASSEMENT TOTAL SUR AUTO
]]/-tblDonnées[[#This Row],[MONTANT AUTO]]</f>
        <v>#VALUE!</v>
      </c>
      <c r="Q59" s="13"/>
      <c r="R59" s="13"/>
      <c r="S59" s="13"/>
      <c r="T59" s="17">
        <f>IF(tblDonnées[[#This Row],[0,5% du dép]]&lt;5000,5000,IF(tblDonnées[[#This Row],[0,5% du dép]]&gt;50000,50000,tblDonnées[[#This Row],[0,5% du dép]]))</f>
        <v>5000</v>
      </c>
      <c r="U59" s="10">
        <f>ABS(tblDonnées[[#This Row],[MONTANT DEPASSEMENT]]*0.005)</f>
        <v>0</v>
      </c>
      <c r="V59" s="13"/>
      <c r="W59" s="10"/>
      <c r="X59" s="10"/>
      <c r="Y59" s="10"/>
      <c r="Z59" s="70"/>
      <c r="AA59" s="8"/>
    </row>
    <row r="60" spans="1:27" s="1" customFormat="1" x14ac:dyDescent="0.25">
      <c r="A60" s="30"/>
      <c r="B60" s="12"/>
      <c r="C60" s="13"/>
      <c r="D60" s="41"/>
      <c r="E60" s="12"/>
      <c r="F60" s="12"/>
      <c r="G60" s="13"/>
      <c r="H60" s="21"/>
      <c r="I60" s="23"/>
      <c r="J60" s="23"/>
      <c r="K60" s="15"/>
      <c r="L60" s="16"/>
      <c r="M6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60" s="38">
        <f>tblDonnées[[#This Row],[MONTANT OPERATION]]+tblDonnées[[#This Row],[POS  FUSIONNEE CPTE AVANT OP]]</f>
        <v>0</v>
      </c>
      <c r="O60" s="17" t="str">
        <f>IF(ISBLANK(tblDonnées[[#This Row],[MONTANT AUTO]]), "N/A", ABS(tblDonnées[[#This Row],[POS  FUSIONNEE CPTE APRES OP]])-ABS(tblDonnées[[#This Row],[MONTANT AUTO]]))</f>
        <v>N/A</v>
      </c>
      <c r="P60" s="39" t="e">
        <f>tblDonnées[[#This Row],[DEPASSEMENT TOTAL SUR AUTO
]]/-tblDonnées[[#This Row],[MONTANT AUTO]]</f>
        <v>#VALUE!</v>
      </c>
      <c r="Q60" s="13"/>
      <c r="R60" s="13"/>
      <c r="S60" s="13"/>
      <c r="T60" s="17">
        <f>IF(tblDonnées[[#This Row],[0,5% du dép]]&lt;5000,5000,IF(tblDonnées[[#This Row],[0,5% du dép]]&gt;50000,50000,tblDonnées[[#This Row],[0,5% du dép]]))</f>
        <v>5000</v>
      </c>
      <c r="U60" s="10">
        <f>ABS(tblDonnées[[#This Row],[MONTANT DEPASSEMENT]]*0.005)</f>
        <v>0</v>
      </c>
      <c r="V60" s="13"/>
      <c r="W60" s="10"/>
      <c r="X60" s="10"/>
      <c r="Y60" s="10"/>
      <c r="Z60" s="70"/>
      <c r="AA60" s="8"/>
    </row>
    <row r="61" spans="1:27" s="1" customFormat="1" x14ac:dyDescent="0.25">
      <c r="A61" s="30"/>
      <c r="B61" s="12"/>
      <c r="C61" s="13"/>
      <c r="D61" s="41"/>
      <c r="E61" s="12"/>
      <c r="F61" s="12"/>
      <c r="G61" s="13"/>
      <c r="H61" s="21"/>
      <c r="I61" s="13"/>
      <c r="J61" s="23"/>
      <c r="K61" s="15"/>
      <c r="L61" s="16"/>
      <c r="M6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61" s="38">
        <f>tblDonnées[[#This Row],[MONTANT OPERATION]]+tblDonnées[[#This Row],[POS  FUSIONNEE CPTE AVANT OP]]</f>
        <v>0</v>
      </c>
      <c r="O61" s="17" t="str">
        <f>IF(ISBLANK(tblDonnées[[#This Row],[MONTANT AUTO]]), "N/A", ABS(tblDonnées[[#This Row],[POS  FUSIONNEE CPTE APRES OP]])-ABS(tblDonnées[[#This Row],[MONTANT AUTO]]))</f>
        <v>N/A</v>
      </c>
      <c r="P61" s="39" t="e">
        <f>tblDonnées[[#This Row],[DEPASSEMENT TOTAL SUR AUTO
]]/-tblDonnées[[#This Row],[MONTANT AUTO]]</f>
        <v>#VALUE!</v>
      </c>
      <c r="Q61" s="13"/>
      <c r="R61" s="13"/>
      <c r="S61" s="13"/>
      <c r="T61" s="17">
        <f>IF(tblDonnées[[#This Row],[0,5% du dép]]&lt;5000,5000,IF(tblDonnées[[#This Row],[0,5% du dép]]&gt;50000,50000,tblDonnées[[#This Row],[0,5% du dép]]))</f>
        <v>5000</v>
      </c>
      <c r="U61" s="10">
        <f>ABS(tblDonnées[[#This Row],[MONTANT DEPASSEMENT]]*0.005)</f>
        <v>0</v>
      </c>
      <c r="V61" s="13"/>
      <c r="W61" s="10"/>
      <c r="X61" s="10"/>
      <c r="Y61" s="10"/>
      <c r="Z61" s="70"/>
      <c r="AA61" s="8"/>
    </row>
    <row r="62" spans="1:27" s="1" customFormat="1" x14ac:dyDescent="0.25">
      <c r="A62" s="30"/>
      <c r="B62" s="12"/>
      <c r="C62" s="10"/>
      <c r="D62" s="41"/>
      <c r="E62" s="41"/>
      <c r="F62" s="21"/>
      <c r="G62" s="13"/>
      <c r="H62" s="21"/>
      <c r="I62" s="23"/>
      <c r="J62" s="14"/>
      <c r="K62" s="15"/>
      <c r="L62" s="16"/>
      <c r="M6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62" s="38">
        <f>tblDonnées[[#This Row],[MONTANT OPERATION]]+tblDonnées[[#This Row],[POS  FUSIONNEE CPTE AVANT OP]]</f>
        <v>0</v>
      </c>
      <c r="O62" s="17" t="str">
        <f>IF(ISBLANK(tblDonnées[[#This Row],[MONTANT AUTO]]), "N/A", ABS(tblDonnées[[#This Row],[POS  FUSIONNEE CPTE APRES OP]])-ABS(tblDonnées[[#This Row],[MONTANT AUTO]]))</f>
        <v>N/A</v>
      </c>
      <c r="P62" s="39" t="e">
        <f>tblDonnées[[#This Row],[DEPASSEMENT TOTAL SUR AUTO
]]/-tblDonnées[[#This Row],[MONTANT AUTO]]</f>
        <v>#VALUE!</v>
      </c>
      <c r="Q62" s="10"/>
      <c r="R62" s="10"/>
      <c r="S62" s="10"/>
      <c r="T62" s="17">
        <f>IF(tblDonnées[[#This Row],[0,5% du dép]]&lt;5000,5000,IF(tblDonnées[[#This Row],[0,5% du dép]]&gt;50000,50000,tblDonnées[[#This Row],[0,5% du dép]]))</f>
        <v>5000</v>
      </c>
      <c r="U62" s="10">
        <f>ABS(tblDonnées[[#This Row],[MONTANT DEPASSEMENT]]*0.005)</f>
        <v>0</v>
      </c>
      <c r="V62" s="10"/>
      <c r="W62" s="10"/>
      <c r="X62" s="10"/>
      <c r="Y62" s="10"/>
      <c r="Z62" s="70"/>
      <c r="AA62" s="8"/>
    </row>
    <row r="63" spans="1:27" s="1" customFormat="1" x14ac:dyDescent="0.25">
      <c r="A63" s="30"/>
      <c r="B63" s="12"/>
      <c r="C63" s="13"/>
      <c r="D63" s="41"/>
      <c r="E63" s="11"/>
      <c r="F63" s="12"/>
      <c r="G63" s="13"/>
      <c r="H63" s="21"/>
      <c r="I63" s="23"/>
      <c r="J63" s="23"/>
      <c r="K63" s="15"/>
      <c r="L63" s="16"/>
      <c r="M6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63" s="38">
        <f>tblDonnées[[#This Row],[MONTANT OPERATION]]+tblDonnées[[#This Row],[POS  FUSIONNEE CPTE AVANT OP]]</f>
        <v>0</v>
      </c>
      <c r="O63" s="17" t="str">
        <f>IF(ISBLANK(tblDonnées[[#This Row],[MONTANT AUTO]]), "N/A", ABS(tblDonnées[[#This Row],[POS  FUSIONNEE CPTE APRES OP]])-ABS(tblDonnées[[#This Row],[MONTANT AUTO]]))</f>
        <v>N/A</v>
      </c>
      <c r="P63" s="39" t="e">
        <f>tblDonnées[[#This Row],[DEPASSEMENT TOTAL SUR AUTO
]]/-tblDonnées[[#This Row],[MONTANT AUTO]]</f>
        <v>#VALUE!</v>
      </c>
      <c r="Q63" s="13"/>
      <c r="R63" s="13"/>
      <c r="S63" s="10"/>
      <c r="T63" s="17">
        <f>IF(tblDonnées[[#This Row],[0,5% du dép]]&lt;5000,5000,IF(tblDonnées[[#This Row],[0,5% du dép]]&gt;50000,50000,tblDonnées[[#This Row],[0,5% du dép]]))</f>
        <v>5000</v>
      </c>
      <c r="U63" s="10">
        <f>ABS(tblDonnées[[#This Row],[MONTANT DEPASSEMENT]]*0.005)</f>
        <v>0</v>
      </c>
      <c r="V63" s="13"/>
      <c r="W63" s="10"/>
      <c r="X63" s="10"/>
      <c r="Y63" s="10"/>
      <c r="Z63" s="70"/>
      <c r="AA63" s="8"/>
    </row>
    <row r="64" spans="1:27" s="1" customFormat="1" x14ac:dyDescent="0.25">
      <c r="A64" s="30"/>
      <c r="B64" s="12"/>
      <c r="C64" s="13"/>
      <c r="D64" s="41"/>
      <c r="E64" s="12"/>
      <c r="F64" s="11"/>
      <c r="G64" s="13"/>
      <c r="H64" s="21"/>
      <c r="I64" s="23"/>
      <c r="J64" s="23"/>
      <c r="K64" s="15"/>
      <c r="L64" s="16"/>
      <c r="M6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64" s="38">
        <f>tblDonnées[[#This Row],[MONTANT OPERATION]]+tblDonnées[[#This Row],[POS  FUSIONNEE CPTE AVANT OP]]</f>
        <v>0</v>
      </c>
      <c r="O64" s="17" t="str">
        <f>IF(ISBLANK(tblDonnées[[#This Row],[MONTANT AUTO]]), "N/A", ABS(tblDonnées[[#This Row],[POS  FUSIONNEE CPTE APRES OP]])-ABS(tblDonnées[[#This Row],[MONTANT AUTO]]))</f>
        <v>N/A</v>
      </c>
      <c r="P64" s="39" t="e">
        <f>tblDonnées[[#This Row],[DEPASSEMENT TOTAL SUR AUTO
]]/-tblDonnées[[#This Row],[MONTANT AUTO]]</f>
        <v>#VALUE!</v>
      </c>
      <c r="Q64" s="13"/>
      <c r="R64" s="13"/>
      <c r="S64" s="10"/>
      <c r="T64" s="17">
        <f>IF(tblDonnées[[#This Row],[0,5% du dép]]&lt;5000,5000,IF(tblDonnées[[#This Row],[0,5% du dép]]&gt;50000,50000,tblDonnées[[#This Row],[0,5% du dép]]))</f>
        <v>5000</v>
      </c>
      <c r="U64" s="10">
        <f>ABS(tblDonnées[[#This Row],[MONTANT DEPASSEMENT]]*0.005)</f>
        <v>0</v>
      </c>
      <c r="V64" s="13"/>
      <c r="W64" s="10"/>
      <c r="X64" s="10"/>
      <c r="Y64" s="10"/>
      <c r="Z64" s="70"/>
      <c r="AA64" s="8"/>
    </row>
    <row r="65" spans="1:27" s="1" customFormat="1" x14ac:dyDescent="0.25">
      <c r="A65" s="13"/>
      <c r="B65" s="12"/>
      <c r="C65" s="13"/>
      <c r="D65" s="41"/>
      <c r="E65" s="12"/>
      <c r="F65" s="12"/>
      <c r="G65" s="13"/>
      <c r="H65" s="21"/>
      <c r="I65" s="13"/>
      <c r="J65" s="31"/>
      <c r="K65" s="26"/>
      <c r="L65" s="27"/>
      <c r="M6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65" s="38">
        <f>tblDonnées[[#This Row],[MONTANT OPERATION]]+tblDonnées[[#This Row],[POS  FUSIONNEE CPTE AVANT OP]]</f>
        <v>0</v>
      </c>
      <c r="O65" s="17" t="str">
        <f>IF(ISBLANK(tblDonnées[[#This Row],[MONTANT AUTO]]), "N/A", ABS(tblDonnées[[#This Row],[POS  FUSIONNEE CPTE APRES OP]])-ABS(tblDonnées[[#This Row],[MONTANT AUTO]]))</f>
        <v>N/A</v>
      </c>
      <c r="P65" s="39" t="e">
        <f>tblDonnées[[#This Row],[DEPASSEMENT TOTAL SUR AUTO
]]/-tblDonnées[[#This Row],[MONTANT AUTO]]</f>
        <v>#VALUE!</v>
      </c>
      <c r="Q65" s="13"/>
      <c r="R65" s="13"/>
      <c r="S65" s="13"/>
      <c r="T65" s="17">
        <f>IF(tblDonnées[[#This Row],[0,5% du dép]]&lt;5000,5000,IF(tblDonnées[[#This Row],[0,5% du dép]]&gt;50000,50000,tblDonnées[[#This Row],[0,5% du dép]]))</f>
        <v>5000</v>
      </c>
      <c r="U65" s="10">
        <f>ABS(tblDonnées[[#This Row],[MONTANT DEPASSEMENT]]*0.005)</f>
        <v>0</v>
      </c>
      <c r="V65" s="13"/>
      <c r="W65" s="10"/>
      <c r="X65" s="10"/>
      <c r="Y65" s="10"/>
      <c r="Z65" s="70"/>
      <c r="AA65" s="8"/>
    </row>
    <row r="66" spans="1:27" s="1" customFormat="1" x14ac:dyDescent="0.25">
      <c r="A66" s="30"/>
      <c r="B66" s="12"/>
      <c r="C66" s="13"/>
      <c r="D66" s="41"/>
      <c r="E66" s="11"/>
      <c r="F66" s="11"/>
      <c r="G66" s="13"/>
      <c r="H66" s="21"/>
      <c r="I66" s="13"/>
      <c r="J66" s="23"/>
      <c r="K66" s="15"/>
      <c r="L66" s="16"/>
      <c r="M6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66" s="38">
        <f>tblDonnées[[#This Row],[MONTANT OPERATION]]+tblDonnées[[#This Row],[POS  FUSIONNEE CPTE AVANT OP]]</f>
        <v>0</v>
      </c>
      <c r="O66" s="17" t="str">
        <f>IF(ISBLANK(tblDonnées[[#This Row],[MONTANT AUTO]]), "N/A", ABS(tblDonnées[[#This Row],[POS  FUSIONNEE CPTE APRES OP]])-ABS(tblDonnées[[#This Row],[MONTANT AUTO]]))</f>
        <v>N/A</v>
      </c>
      <c r="P66" s="39" t="e">
        <f>tblDonnées[[#This Row],[DEPASSEMENT TOTAL SUR AUTO
]]/-tblDonnées[[#This Row],[MONTANT AUTO]]</f>
        <v>#VALUE!</v>
      </c>
      <c r="Q66" s="13"/>
      <c r="R66" s="13"/>
      <c r="S66" s="13"/>
      <c r="T66" s="17">
        <f>IF(tblDonnées[[#This Row],[0,5% du dép]]&lt;5000,5000,IF(tblDonnées[[#This Row],[0,5% du dép]]&gt;50000,50000,tblDonnées[[#This Row],[0,5% du dép]]))</f>
        <v>5000</v>
      </c>
      <c r="U66" s="10">
        <f>ABS(tblDonnées[[#This Row],[MONTANT DEPASSEMENT]]*0.005)</f>
        <v>0</v>
      </c>
      <c r="V66" s="13"/>
      <c r="W66" s="10"/>
      <c r="X66" s="10"/>
      <c r="Y66" s="10"/>
      <c r="Z66" s="70"/>
      <c r="AA66" s="8"/>
    </row>
    <row r="67" spans="1:27" x14ac:dyDescent="0.25">
      <c r="A67" s="30"/>
      <c r="B67" s="12"/>
      <c r="D67" s="41"/>
      <c r="H67" s="21"/>
      <c r="J67" s="23"/>
      <c r="M6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67" s="38">
        <f>tblDonnées[[#This Row],[MONTANT OPERATION]]+tblDonnées[[#This Row],[POS  FUSIONNEE CPTE AVANT OP]]</f>
        <v>0</v>
      </c>
      <c r="O67" s="17" t="str">
        <f>IF(ISBLANK(tblDonnées[[#This Row],[MONTANT AUTO]]), "N/A", ABS(tblDonnées[[#This Row],[POS  FUSIONNEE CPTE APRES OP]])-ABS(tblDonnées[[#This Row],[MONTANT AUTO]]))</f>
        <v>N/A</v>
      </c>
      <c r="P67" s="39" t="e">
        <f>tblDonnées[[#This Row],[DEPASSEMENT TOTAL SUR AUTO
]]/-tblDonnées[[#This Row],[MONTANT AUTO]]</f>
        <v>#VALUE!</v>
      </c>
      <c r="T67" s="17">
        <f>IF(tblDonnées[[#This Row],[0,5% du dép]]&lt;5000,5000,IF(tblDonnées[[#This Row],[0,5% du dép]]&gt;50000,50000,tblDonnées[[#This Row],[0,5% du dép]]))</f>
        <v>5000</v>
      </c>
      <c r="U67" s="10">
        <f>ABS(tblDonnées[[#This Row],[MONTANT DEPASSEMENT]]*0.005)</f>
        <v>0</v>
      </c>
      <c r="Z67" s="33"/>
    </row>
    <row r="68" spans="1:27" x14ac:dyDescent="0.25">
      <c r="A68" s="30"/>
      <c r="B68" s="12"/>
      <c r="D68" s="41"/>
      <c r="H68" s="21"/>
      <c r="J68" s="23"/>
      <c r="M6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68" s="38">
        <f>tblDonnées[[#This Row],[MONTANT OPERATION]]+tblDonnées[[#This Row],[POS  FUSIONNEE CPTE AVANT OP]]</f>
        <v>0</v>
      </c>
      <c r="O68" s="17" t="str">
        <f>IF(ISBLANK(tblDonnées[[#This Row],[MONTANT AUTO]]), "N/A", ABS(tblDonnées[[#This Row],[POS  FUSIONNEE CPTE APRES OP]])-ABS(tblDonnées[[#This Row],[MONTANT AUTO]]))</f>
        <v>N/A</v>
      </c>
      <c r="P68" s="39" t="e">
        <f>tblDonnées[[#This Row],[DEPASSEMENT TOTAL SUR AUTO
]]/-tblDonnées[[#This Row],[MONTANT AUTO]]</f>
        <v>#VALUE!</v>
      </c>
      <c r="T68" s="17">
        <f>IF(tblDonnées[[#This Row],[0,5% du dép]]&lt;5000,5000,IF(tblDonnées[[#This Row],[0,5% du dép]]&gt;50000,50000,tblDonnées[[#This Row],[0,5% du dép]]))</f>
        <v>5000</v>
      </c>
      <c r="U68" s="10">
        <f>ABS(tblDonnées[[#This Row],[MONTANT DEPASSEMENT]]*0.005)</f>
        <v>0</v>
      </c>
      <c r="Z68" s="33"/>
    </row>
    <row r="69" spans="1:27" x14ac:dyDescent="0.25">
      <c r="A69" s="30"/>
      <c r="B69" s="12"/>
      <c r="D69" s="41"/>
      <c r="H69" s="21"/>
      <c r="J69" s="23"/>
      <c r="M6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69" s="38">
        <f>tblDonnées[[#This Row],[MONTANT OPERATION]]+tblDonnées[[#This Row],[POS  FUSIONNEE CPTE AVANT OP]]</f>
        <v>0</v>
      </c>
      <c r="O69" s="17" t="str">
        <f>IF(ISBLANK(tblDonnées[[#This Row],[MONTANT AUTO]]), "N/A", ABS(tblDonnées[[#This Row],[POS  FUSIONNEE CPTE APRES OP]])-ABS(tblDonnées[[#This Row],[MONTANT AUTO]]))</f>
        <v>N/A</v>
      </c>
      <c r="P69" s="39" t="e">
        <f>tblDonnées[[#This Row],[DEPASSEMENT TOTAL SUR AUTO
]]/-tblDonnées[[#This Row],[MONTANT AUTO]]</f>
        <v>#VALUE!</v>
      </c>
      <c r="T69" s="17">
        <f>IF(tblDonnées[[#This Row],[0,5% du dép]]&lt;5000,5000,IF(tblDonnées[[#This Row],[0,5% du dép]]&gt;50000,50000,tblDonnées[[#This Row],[0,5% du dép]]))</f>
        <v>5000</v>
      </c>
      <c r="U69" s="10">
        <f>ABS(tblDonnées[[#This Row],[MONTANT DEPASSEMENT]]*0.005)</f>
        <v>0</v>
      </c>
      <c r="Z69" s="33"/>
    </row>
    <row r="70" spans="1:27" x14ac:dyDescent="0.25">
      <c r="A70" s="30"/>
      <c r="B70" s="12"/>
      <c r="D70" s="41"/>
      <c r="H70" s="21"/>
      <c r="J70" s="23"/>
      <c r="M7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70" s="38">
        <f>tblDonnées[[#This Row],[MONTANT OPERATION]]+tblDonnées[[#This Row],[POS  FUSIONNEE CPTE AVANT OP]]</f>
        <v>0</v>
      </c>
      <c r="O70" s="17" t="str">
        <f>IF(ISBLANK(tblDonnées[[#This Row],[MONTANT AUTO]]), "N/A", ABS(tblDonnées[[#This Row],[POS  FUSIONNEE CPTE APRES OP]])-ABS(tblDonnées[[#This Row],[MONTANT AUTO]]))</f>
        <v>N/A</v>
      </c>
      <c r="P70" s="39" t="e">
        <f>tblDonnées[[#This Row],[DEPASSEMENT TOTAL SUR AUTO
]]/-tblDonnées[[#This Row],[MONTANT AUTO]]</f>
        <v>#VALUE!</v>
      </c>
      <c r="T70" s="17">
        <f>IF(tblDonnées[[#This Row],[0,5% du dép]]&lt;5000,5000,IF(tblDonnées[[#This Row],[0,5% du dép]]&gt;50000,50000,tblDonnées[[#This Row],[0,5% du dép]]))</f>
        <v>5000</v>
      </c>
      <c r="U70" s="10">
        <f>ABS(tblDonnées[[#This Row],[MONTANT DEPASSEMENT]]*0.005)</f>
        <v>0</v>
      </c>
      <c r="Z70" s="33"/>
    </row>
    <row r="71" spans="1:27" x14ac:dyDescent="0.25">
      <c r="A71" s="30"/>
      <c r="B71" s="12"/>
      <c r="D71" s="41"/>
      <c r="E71" s="48"/>
      <c r="F71" s="21"/>
      <c r="H71" s="21"/>
      <c r="J71" s="23"/>
      <c r="M7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71" s="38">
        <f>tblDonnées[[#This Row],[MONTANT OPERATION]]+tblDonnées[[#This Row],[POS  FUSIONNEE CPTE AVANT OP]]</f>
        <v>0</v>
      </c>
      <c r="O71" s="17" t="str">
        <f>IF(ISBLANK(tblDonnées[[#This Row],[MONTANT AUTO]]), "N/A", ABS(tblDonnées[[#This Row],[POS  FUSIONNEE CPTE APRES OP]])-ABS(tblDonnées[[#This Row],[MONTANT AUTO]]))</f>
        <v>N/A</v>
      </c>
      <c r="P71" s="39" t="e">
        <f>tblDonnées[[#This Row],[DEPASSEMENT TOTAL SUR AUTO
]]/-tblDonnées[[#This Row],[MONTANT AUTO]]</f>
        <v>#VALUE!</v>
      </c>
      <c r="T71" s="17">
        <f>IF(tblDonnées[[#This Row],[0,5% du dép]]&lt;5000,5000,IF(tblDonnées[[#This Row],[0,5% du dép]]&gt;50000,50000,tblDonnées[[#This Row],[0,5% du dép]]))</f>
        <v>5000</v>
      </c>
      <c r="U71" s="10">
        <f>ABS(tblDonnées[[#This Row],[MONTANT DEPASSEMENT]]*0.005)</f>
        <v>0</v>
      </c>
      <c r="Z71" s="33"/>
    </row>
    <row r="72" spans="1:27" x14ac:dyDescent="0.25">
      <c r="A72" s="30"/>
      <c r="B72" s="12"/>
      <c r="D72" s="41"/>
      <c r="H72" s="21"/>
      <c r="J72" s="23"/>
      <c r="M7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72" s="38">
        <f>tblDonnées[[#This Row],[MONTANT OPERATION]]+tblDonnées[[#This Row],[POS  FUSIONNEE CPTE AVANT OP]]</f>
        <v>0</v>
      </c>
      <c r="O72" s="17" t="str">
        <f>IF(ISBLANK(tblDonnées[[#This Row],[MONTANT AUTO]]), "N/A", ABS(tblDonnées[[#This Row],[POS  FUSIONNEE CPTE APRES OP]])-ABS(tblDonnées[[#This Row],[MONTANT AUTO]]))</f>
        <v>N/A</v>
      </c>
      <c r="P72" s="39" t="e">
        <f>tblDonnées[[#This Row],[DEPASSEMENT TOTAL SUR AUTO
]]/-tblDonnées[[#This Row],[MONTANT AUTO]]</f>
        <v>#VALUE!</v>
      </c>
      <c r="T72" s="17">
        <f>IF(tblDonnées[[#This Row],[0,5% du dép]]&lt;5000,5000,IF(tblDonnées[[#This Row],[0,5% du dép]]&gt;50000,50000,tblDonnées[[#This Row],[0,5% du dép]]))</f>
        <v>5000</v>
      </c>
      <c r="U72" s="10">
        <f>ABS(tblDonnées[[#This Row],[MONTANT DEPASSEMENT]]*0.005)</f>
        <v>0</v>
      </c>
      <c r="Z72" s="33"/>
    </row>
    <row r="73" spans="1:27" x14ac:dyDescent="0.25">
      <c r="A73" s="30"/>
      <c r="B73" s="12"/>
      <c r="D73" s="41"/>
      <c r="E73" s="11"/>
      <c r="H73" s="21"/>
      <c r="J73" s="23"/>
      <c r="M7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73" s="38">
        <f>tblDonnées[[#This Row],[MONTANT OPERATION]]+tblDonnées[[#This Row],[POS  FUSIONNEE CPTE AVANT OP]]</f>
        <v>0</v>
      </c>
      <c r="O73" s="17" t="str">
        <f>IF(ISBLANK(tblDonnées[[#This Row],[MONTANT AUTO]]), "N/A", ABS(tblDonnées[[#This Row],[POS  FUSIONNEE CPTE APRES OP]])-ABS(tblDonnées[[#This Row],[MONTANT AUTO]]))</f>
        <v>N/A</v>
      </c>
      <c r="P73" s="39" t="e">
        <f>tblDonnées[[#This Row],[DEPASSEMENT TOTAL SUR AUTO
]]/-tblDonnées[[#This Row],[MONTANT AUTO]]</f>
        <v>#VALUE!</v>
      </c>
      <c r="T73" s="17">
        <f>IF(tblDonnées[[#This Row],[0,5% du dép]]&lt;5000,5000,IF(tblDonnées[[#This Row],[0,5% du dép]]&gt;50000,50000,tblDonnées[[#This Row],[0,5% du dép]]))</f>
        <v>5000</v>
      </c>
      <c r="U73" s="10">
        <f>ABS(tblDonnées[[#This Row],[MONTANT DEPASSEMENT]]*0.005)</f>
        <v>0</v>
      </c>
      <c r="Z73" s="33"/>
    </row>
    <row r="74" spans="1:27" x14ac:dyDescent="0.25">
      <c r="A74" s="30"/>
      <c r="B74" s="12"/>
      <c r="D74" s="41"/>
      <c r="H74" s="21"/>
      <c r="J74" s="23"/>
      <c r="M7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74" s="38">
        <f>tblDonnées[[#This Row],[MONTANT OPERATION]]+tblDonnées[[#This Row],[POS  FUSIONNEE CPTE AVANT OP]]</f>
        <v>0</v>
      </c>
      <c r="O74" s="17" t="str">
        <f>IF(ISBLANK(tblDonnées[[#This Row],[MONTANT AUTO]]), "N/A", ABS(tblDonnées[[#This Row],[POS  FUSIONNEE CPTE APRES OP]])-ABS(tblDonnées[[#This Row],[MONTANT AUTO]]))</f>
        <v>N/A</v>
      </c>
      <c r="P74" s="39" t="e">
        <f>tblDonnées[[#This Row],[DEPASSEMENT TOTAL SUR AUTO
]]/-tblDonnées[[#This Row],[MONTANT AUTO]]</f>
        <v>#VALUE!</v>
      </c>
      <c r="T74" s="17">
        <f>IF(tblDonnées[[#This Row],[0,5% du dép]]&lt;5000,5000,IF(tblDonnées[[#This Row],[0,5% du dép]]&gt;50000,50000,tblDonnées[[#This Row],[0,5% du dép]]))</f>
        <v>5000</v>
      </c>
      <c r="U74" s="10">
        <f>ABS(tblDonnées[[#This Row],[MONTANT DEPASSEMENT]]*0.005)</f>
        <v>0</v>
      </c>
      <c r="Z74" s="33"/>
    </row>
    <row r="75" spans="1:27" x14ac:dyDescent="0.25">
      <c r="A75" s="30"/>
      <c r="B75" s="12"/>
      <c r="D75" s="41"/>
      <c r="H75" s="21"/>
      <c r="J75" s="23"/>
      <c r="M7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75" s="38">
        <f>tblDonnées[[#This Row],[MONTANT OPERATION]]+tblDonnées[[#This Row],[POS  FUSIONNEE CPTE AVANT OP]]</f>
        <v>0</v>
      </c>
      <c r="O75" s="17" t="str">
        <f>IF(ISBLANK(tblDonnées[[#This Row],[MONTANT AUTO]]), "N/A", ABS(tblDonnées[[#This Row],[POS  FUSIONNEE CPTE APRES OP]])-ABS(tblDonnées[[#This Row],[MONTANT AUTO]]))</f>
        <v>N/A</v>
      </c>
      <c r="P75" s="39" t="e">
        <f>tblDonnées[[#This Row],[DEPASSEMENT TOTAL SUR AUTO
]]/-tblDonnées[[#This Row],[MONTANT AUTO]]</f>
        <v>#VALUE!</v>
      </c>
      <c r="T75" s="17">
        <f>IF(tblDonnées[[#This Row],[0,5% du dép]]&lt;5000,5000,IF(tblDonnées[[#This Row],[0,5% du dép]]&gt;50000,50000,tblDonnées[[#This Row],[0,5% du dép]]))</f>
        <v>5000</v>
      </c>
      <c r="U75" s="10">
        <f>ABS(tblDonnées[[#This Row],[MONTANT DEPASSEMENT]]*0.005)</f>
        <v>0</v>
      </c>
      <c r="Z75" s="33"/>
    </row>
    <row r="76" spans="1:27" x14ac:dyDescent="0.25">
      <c r="A76" s="30"/>
      <c r="B76" s="12"/>
      <c r="D76" s="41"/>
      <c r="H76" s="21"/>
      <c r="J76" s="23"/>
      <c r="M7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76" s="38">
        <f>tblDonnées[[#This Row],[MONTANT OPERATION]]+tblDonnées[[#This Row],[POS  FUSIONNEE CPTE AVANT OP]]</f>
        <v>0</v>
      </c>
      <c r="O76" s="17" t="str">
        <f>IF(ISBLANK(tblDonnées[[#This Row],[MONTANT AUTO]]), "N/A", ABS(tblDonnées[[#This Row],[POS  FUSIONNEE CPTE APRES OP]])-ABS(tblDonnées[[#This Row],[MONTANT AUTO]]))</f>
        <v>N/A</v>
      </c>
      <c r="P76" s="39" t="e">
        <f>tblDonnées[[#This Row],[DEPASSEMENT TOTAL SUR AUTO
]]/-tblDonnées[[#This Row],[MONTANT AUTO]]</f>
        <v>#VALUE!</v>
      </c>
      <c r="T76" s="17">
        <f>IF(tblDonnées[[#This Row],[0,5% du dép]]&lt;5000,5000,IF(tblDonnées[[#This Row],[0,5% du dép]]&gt;50000,50000,tblDonnées[[#This Row],[0,5% du dép]]))</f>
        <v>5000</v>
      </c>
      <c r="U76" s="10">
        <f>ABS(tblDonnées[[#This Row],[MONTANT DEPASSEMENT]]*0.005)</f>
        <v>0</v>
      </c>
      <c r="Z76" s="33"/>
    </row>
    <row r="77" spans="1:27" x14ac:dyDescent="0.25">
      <c r="A77" s="30"/>
      <c r="B77" s="12"/>
      <c r="D77" s="41"/>
      <c r="H77" s="21"/>
      <c r="J77" s="23"/>
      <c r="M7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77" s="38">
        <f>tblDonnées[[#This Row],[MONTANT OPERATION]]+tblDonnées[[#This Row],[POS  FUSIONNEE CPTE AVANT OP]]</f>
        <v>0</v>
      </c>
      <c r="O77" s="17" t="str">
        <f>IF(ISBLANK(tblDonnées[[#This Row],[MONTANT AUTO]]), "N/A", ABS(tblDonnées[[#This Row],[POS  FUSIONNEE CPTE APRES OP]])-ABS(tblDonnées[[#This Row],[MONTANT AUTO]]))</f>
        <v>N/A</v>
      </c>
      <c r="P77" s="39" t="e">
        <f>tblDonnées[[#This Row],[DEPASSEMENT TOTAL SUR AUTO
]]/-tblDonnées[[#This Row],[MONTANT AUTO]]</f>
        <v>#VALUE!</v>
      </c>
      <c r="T77" s="17">
        <f>IF(tblDonnées[[#This Row],[0,5% du dép]]&lt;5000,5000,IF(tblDonnées[[#This Row],[0,5% du dép]]&gt;50000,50000,tblDonnées[[#This Row],[0,5% du dép]]))</f>
        <v>5000</v>
      </c>
      <c r="U77" s="10">
        <f>ABS(tblDonnées[[#This Row],[MONTANT DEPASSEMENT]]*0.005)</f>
        <v>0</v>
      </c>
      <c r="Z77" s="33"/>
    </row>
    <row r="78" spans="1:27" x14ac:dyDescent="0.25">
      <c r="A78" s="30"/>
      <c r="B78" s="12"/>
      <c r="D78" s="41"/>
      <c r="H78" s="21"/>
      <c r="J78" s="23"/>
      <c r="M7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78" s="38">
        <f>tblDonnées[[#This Row],[MONTANT OPERATION]]+tblDonnées[[#This Row],[POS  FUSIONNEE CPTE AVANT OP]]</f>
        <v>0</v>
      </c>
      <c r="O78" s="17" t="str">
        <f>IF(ISBLANK(tblDonnées[[#This Row],[MONTANT AUTO]]), "N/A", ABS(tblDonnées[[#This Row],[POS  FUSIONNEE CPTE APRES OP]])-ABS(tblDonnées[[#This Row],[MONTANT AUTO]]))</f>
        <v>N/A</v>
      </c>
      <c r="P78" s="39" t="e">
        <f>tblDonnées[[#This Row],[DEPASSEMENT TOTAL SUR AUTO
]]/-tblDonnées[[#This Row],[MONTANT AUTO]]</f>
        <v>#VALUE!</v>
      </c>
      <c r="T78" s="17">
        <f>IF(tblDonnées[[#This Row],[0,5% du dép]]&lt;5000,5000,IF(tblDonnées[[#This Row],[0,5% du dép]]&gt;50000,50000,tblDonnées[[#This Row],[0,5% du dép]]))</f>
        <v>5000</v>
      </c>
      <c r="U78" s="10">
        <f>ABS(tblDonnées[[#This Row],[MONTANT DEPASSEMENT]]*0.005)</f>
        <v>0</v>
      </c>
      <c r="Z78" s="33"/>
    </row>
    <row r="79" spans="1:27" x14ac:dyDescent="0.25">
      <c r="A79" s="30"/>
      <c r="B79" s="12"/>
      <c r="D79" s="41"/>
      <c r="H79" s="21"/>
      <c r="J79" s="23"/>
      <c r="M7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79" s="38">
        <f>tblDonnées[[#This Row],[MONTANT OPERATION]]+tblDonnées[[#This Row],[POS  FUSIONNEE CPTE AVANT OP]]</f>
        <v>0</v>
      </c>
      <c r="O79" s="17" t="str">
        <f>IF(ISBLANK(tblDonnées[[#This Row],[MONTANT AUTO]]), "N/A", ABS(tblDonnées[[#This Row],[POS  FUSIONNEE CPTE APRES OP]])-ABS(tblDonnées[[#This Row],[MONTANT AUTO]]))</f>
        <v>N/A</v>
      </c>
      <c r="P79" s="39" t="e">
        <f>tblDonnées[[#This Row],[DEPASSEMENT TOTAL SUR AUTO
]]/-tblDonnées[[#This Row],[MONTANT AUTO]]</f>
        <v>#VALUE!</v>
      </c>
      <c r="T79" s="17">
        <f>IF(tblDonnées[[#This Row],[0,5% du dép]]&lt;5000,5000,IF(tblDonnées[[#This Row],[0,5% du dép]]&gt;50000,50000,tblDonnées[[#This Row],[0,5% du dép]]))</f>
        <v>5000</v>
      </c>
      <c r="U79" s="10">
        <f>ABS(tblDonnées[[#This Row],[MONTANT DEPASSEMENT]]*0.005)</f>
        <v>0</v>
      </c>
      <c r="Z79" s="33"/>
    </row>
    <row r="80" spans="1:27" x14ac:dyDescent="0.25">
      <c r="A80" s="30"/>
      <c r="B80" s="12"/>
      <c r="D80" s="41"/>
      <c r="H80" s="21"/>
      <c r="J80" s="23"/>
      <c r="M8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80" s="38">
        <f>tblDonnées[[#This Row],[MONTANT OPERATION]]+tblDonnées[[#This Row],[POS  FUSIONNEE CPTE AVANT OP]]</f>
        <v>0</v>
      </c>
      <c r="O80" s="17" t="str">
        <f>IF(ISBLANK(tblDonnées[[#This Row],[MONTANT AUTO]]), "N/A", ABS(tblDonnées[[#This Row],[POS  FUSIONNEE CPTE APRES OP]])-ABS(tblDonnées[[#This Row],[MONTANT AUTO]]))</f>
        <v>N/A</v>
      </c>
      <c r="P80" s="39" t="e">
        <f>tblDonnées[[#This Row],[DEPASSEMENT TOTAL SUR AUTO
]]/-tblDonnées[[#This Row],[MONTANT AUTO]]</f>
        <v>#VALUE!</v>
      </c>
      <c r="T80" s="17">
        <f>IF(tblDonnées[[#This Row],[0,5% du dép]]&lt;5000,5000,IF(tblDonnées[[#This Row],[0,5% du dép]]&gt;50000,50000,tblDonnées[[#This Row],[0,5% du dép]]))</f>
        <v>5000</v>
      </c>
      <c r="U80" s="10">
        <f>ABS(tblDonnées[[#This Row],[MONTANT DEPASSEMENT]]*0.005)</f>
        <v>0</v>
      </c>
      <c r="Z80" s="33"/>
    </row>
    <row r="81" spans="1:26" x14ac:dyDescent="0.25">
      <c r="A81" s="30"/>
      <c r="B81" s="12"/>
      <c r="D81" s="41"/>
      <c r="H81" s="21"/>
      <c r="J81" s="23"/>
      <c r="M8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81" s="38">
        <f>tblDonnées[[#This Row],[MONTANT OPERATION]]+tblDonnées[[#This Row],[POS  FUSIONNEE CPTE AVANT OP]]</f>
        <v>0</v>
      </c>
      <c r="O81" s="17" t="str">
        <f>IF(ISBLANK(tblDonnées[[#This Row],[MONTANT AUTO]]), "N/A", ABS(tblDonnées[[#This Row],[POS  FUSIONNEE CPTE APRES OP]])-ABS(tblDonnées[[#This Row],[MONTANT AUTO]]))</f>
        <v>N/A</v>
      </c>
      <c r="P81" s="39" t="e">
        <f>tblDonnées[[#This Row],[DEPASSEMENT TOTAL SUR AUTO
]]/-tblDonnées[[#This Row],[MONTANT AUTO]]</f>
        <v>#VALUE!</v>
      </c>
      <c r="T81" s="17">
        <f>IF(tblDonnées[[#This Row],[0,5% du dép]]&lt;5000,5000,IF(tblDonnées[[#This Row],[0,5% du dép]]&gt;50000,50000,tblDonnées[[#This Row],[0,5% du dép]]))</f>
        <v>5000</v>
      </c>
      <c r="U81" s="10">
        <f>ABS(tblDonnées[[#This Row],[MONTANT DEPASSEMENT]]*0.005)</f>
        <v>0</v>
      </c>
      <c r="Z81" s="33"/>
    </row>
    <row r="82" spans="1:26" x14ac:dyDescent="0.25">
      <c r="A82" s="30"/>
      <c r="B82" s="12"/>
      <c r="D82" s="41"/>
      <c r="H82" s="21"/>
      <c r="J82" s="23"/>
      <c r="M8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82" s="38">
        <f>tblDonnées[[#This Row],[MONTANT OPERATION]]+tblDonnées[[#This Row],[POS  FUSIONNEE CPTE AVANT OP]]</f>
        <v>0</v>
      </c>
      <c r="O82" s="17" t="str">
        <f>IF(ISBLANK(tblDonnées[[#This Row],[MONTANT AUTO]]), "N/A", ABS(tblDonnées[[#This Row],[POS  FUSIONNEE CPTE APRES OP]])-ABS(tblDonnées[[#This Row],[MONTANT AUTO]]))</f>
        <v>N/A</v>
      </c>
      <c r="P82" s="39" t="e">
        <f>tblDonnées[[#This Row],[DEPASSEMENT TOTAL SUR AUTO
]]/-tblDonnées[[#This Row],[MONTANT AUTO]]</f>
        <v>#VALUE!</v>
      </c>
      <c r="T82" s="17">
        <f>IF(tblDonnées[[#This Row],[0,5% du dép]]&lt;5000,5000,IF(tblDonnées[[#This Row],[0,5% du dép]]&gt;50000,50000,tblDonnées[[#This Row],[0,5% du dép]]))</f>
        <v>5000</v>
      </c>
      <c r="U82" s="10">
        <f>ABS(tblDonnées[[#This Row],[MONTANT DEPASSEMENT]]*0.005)</f>
        <v>0</v>
      </c>
      <c r="Z82" s="33"/>
    </row>
    <row r="83" spans="1:26" x14ac:dyDescent="0.25">
      <c r="A83" s="30"/>
      <c r="B83" s="12"/>
      <c r="D83" s="41"/>
      <c r="H83" s="21"/>
      <c r="J83" s="23"/>
      <c r="M8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83" s="38">
        <f>tblDonnées[[#This Row],[MONTANT OPERATION]]+tblDonnées[[#This Row],[POS  FUSIONNEE CPTE AVANT OP]]</f>
        <v>0</v>
      </c>
      <c r="O83" s="17" t="str">
        <f>IF(ISBLANK(tblDonnées[[#This Row],[MONTANT AUTO]]), "N/A", ABS(tblDonnées[[#This Row],[POS  FUSIONNEE CPTE APRES OP]])-ABS(tblDonnées[[#This Row],[MONTANT AUTO]]))</f>
        <v>N/A</v>
      </c>
      <c r="P83" s="39" t="e">
        <f>tblDonnées[[#This Row],[DEPASSEMENT TOTAL SUR AUTO
]]/-tblDonnées[[#This Row],[MONTANT AUTO]]</f>
        <v>#VALUE!</v>
      </c>
      <c r="T83" s="17">
        <f>IF(tblDonnées[[#This Row],[0,5% du dép]]&lt;5000,5000,IF(tblDonnées[[#This Row],[0,5% du dép]]&gt;50000,50000,tblDonnées[[#This Row],[0,5% du dép]]))</f>
        <v>5000</v>
      </c>
      <c r="U83" s="10">
        <f>ABS(tblDonnées[[#This Row],[MONTANT DEPASSEMENT]]*0.005)</f>
        <v>0</v>
      </c>
      <c r="Z83" s="33"/>
    </row>
    <row r="84" spans="1:26" x14ac:dyDescent="0.25">
      <c r="A84" s="30"/>
      <c r="B84" s="12"/>
      <c r="D84" s="41"/>
      <c r="H84" s="21"/>
      <c r="J84" s="23"/>
      <c r="M8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84" s="38">
        <f>tblDonnées[[#This Row],[MONTANT OPERATION]]+tblDonnées[[#This Row],[POS  FUSIONNEE CPTE AVANT OP]]</f>
        <v>0</v>
      </c>
      <c r="O84" s="17" t="str">
        <f>IF(ISBLANK(tblDonnées[[#This Row],[MONTANT AUTO]]), "N/A", ABS(tblDonnées[[#This Row],[POS  FUSIONNEE CPTE APRES OP]])-ABS(tblDonnées[[#This Row],[MONTANT AUTO]]))</f>
        <v>N/A</v>
      </c>
      <c r="P84" s="39" t="e">
        <f>tblDonnées[[#This Row],[DEPASSEMENT TOTAL SUR AUTO
]]/-tblDonnées[[#This Row],[MONTANT AUTO]]</f>
        <v>#VALUE!</v>
      </c>
      <c r="T84" s="17">
        <f>IF(tblDonnées[[#This Row],[0,5% du dép]]&lt;5000,5000,IF(tblDonnées[[#This Row],[0,5% du dép]]&gt;50000,50000,tblDonnées[[#This Row],[0,5% du dép]]))</f>
        <v>5000</v>
      </c>
      <c r="U84" s="10">
        <f>ABS(tblDonnées[[#This Row],[MONTANT DEPASSEMENT]]*0.005)</f>
        <v>0</v>
      </c>
      <c r="Z84" s="33"/>
    </row>
    <row r="85" spans="1:26" x14ac:dyDescent="0.25">
      <c r="A85" s="30"/>
      <c r="B85" s="12"/>
      <c r="D85" s="41"/>
      <c r="E85" s="21"/>
      <c r="F85" s="21"/>
      <c r="H85" s="21"/>
      <c r="J85" s="23"/>
      <c r="M8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85" s="38">
        <f>tblDonnées[[#This Row],[MONTANT OPERATION]]+tblDonnées[[#This Row],[POS  FUSIONNEE CPTE AVANT OP]]</f>
        <v>0</v>
      </c>
      <c r="O85" s="17" t="str">
        <f>IF(ISBLANK(tblDonnées[[#This Row],[MONTANT AUTO]]), "N/A", ABS(tblDonnées[[#This Row],[POS  FUSIONNEE CPTE APRES OP]])-ABS(tblDonnées[[#This Row],[MONTANT AUTO]]))</f>
        <v>N/A</v>
      </c>
      <c r="P85" s="39" t="e">
        <f>tblDonnées[[#This Row],[DEPASSEMENT TOTAL SUR AUTO
]]/-tblDonnées[[#This Row],[MONTANT AUTO]]</f>
        <v>#VALUE!</v>
      </c>
      <c r="T85" s="17">
        <f>IF(tblDonnées[[#This Row],[0,5% du dép]]&lt;5000,5000,IF(tblDonnées[[#This Row],[0,5% du dép]]&gt;50000,50000,tblDonnées[[#This Row],[0,5% du dép]]))</f>
        <v>5000</v>
      </c>
      <c r="U85" s="10">
        <f>ABS(tblDonnées[[#This Row],[MONTANT DEPASSEMENT]]*0.005)</f>
        <v>0</v>
      </c>
      <c r="Z85" s="33"/>
    </row>
    <row r="86" spans="1:26" x14ac:dyDescent="0.25">
      <c r="A86" s="30"/>
      <c r="B86" s="12"/>
      <c r="D86" s="41"/>
      <c r="H86" s="21"/>
      <c r="J86" s="23"/>
      <c r="M8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86" s="38">
        <f>tblDonnées[[#This Row],[MONTANT OPERATION]]+tblDonnées[[#This Row],[POS  FUSIONNEE CPTE AVANT OP]]</f>
        <v>0</v>
      </c>
      <c r="O86" s="17" t="str">
        <f>IF(ISBLANK(tblDonnées[[#This Row],[MONTANT AUTO]]), "N/A", ABS(tblDonnées[[#This Row],[POS  FUSIONNEE CPTE APRES OP]])-ABS(tblDonnées[[#This Row],[MONTANT AUTO]]))</f>
        <v>N/A</v>
      </c>
      <c r="P86" s="39" t="e">
        <f>tblDonnées[[#This Row],[DEPASSEMENT TOTAL SUR AUTO
]]/-tblDonnées[[#This Row],[MONTANT AUTO]]</f>
        <v>#VALUE!</v>
      </c>
      <c r="T86" s="17">
        <f>IF(tblDonnées[[#This Row],[0,5% du dép]]&lt;5000,5000,IF(tblDonnées[[#This Row],[0,5% du dép]]&gt;50000,50000,tblDonnées[[#This Row],[0,5% du dép]]))</f>
        <v>5000</v>
      </c>
      <c r="U86" s="10">
        <f>ABS(tblDonnées[[#This Row],[MONTANT DEPASSEMENT]]*0.005)</f>
        <v>0</v>
      </c>
      <c r="Z86" s="33"/>
    </row>
    <row r="87" spans="1:26" x14ac:dyDescent="0.25">
      <c r="A87" s="30"/>
      <c r="B87" s="12"/>
      <c r="D87" s="41"/>
      <c r="H87" s="21"/>
      <c r="J87" s="23"/>
      <c r="M8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87" s="38">
        <f>tblDonnées[[#This Row],[MONTANT OPERATION]]+tblDonnées[[#This Row],[POS  FUSIONNEE CPTE AVANT OP]]</f>
        <v>0</v>
      </c>
      <c r="O87" s="17" t="str">
        <f>IF(ISBLANK(tblDonnées[[#This Row],[MONTANT AUTO]]), "N/A", ABS(tblDonnées[[#This Row],[POS  FUSIONNEE CPTE APRES OP]])-ABS(tblDonnées[[#This Row],[MONTANT AUTO]]))</f>
        <v>N/A</v>
      </c>
      <c r="P87" s="39" t="e">
        <f>tblDonnées[[#This Row],[DEPASSEMENT TOTAL SUR AUTO
]]/-tblDonnées[[#This Row],[MONTANT AUTO]]</f>
        <v>#VALUE!</v>
      </c>
      <c r="T87" s="17">
        <f>IF(tblDonnées[[#This Row],[0,5% du dép]]&lt;5000,5000,IF(tblDonnées[[#This Row],[0,5% du dép]]&gt;50000,50000,tblDonnées[[#This Row],[0,5% du dép]]))</f>
        <v>5000</v>
      </c>
      <c r="U87" s="10">
        <f>ABS(tblDonnées[[#This Row],[MONTANT DEPASSEMENT]]*0.005)</f>
        <v>0</v>
      </c>
      <c r="Z87" s="33"/>
    </row>
    <row r="88" spans="1:26" x14ac:dyDescent="0.25">
      <c r="A88" s="30"/>
      <c r="B88" s="12"/>
      <c r="D88" s="41"/>
      <c r="H88" s="21"/>
      <c r="J88" s="23"/>
      <c r="M8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88" s="38">
        <f>tblDonnées[[#This Row],[MONTANT OPERATION]]+tblDonnées[[#This Row],[POS  FUSIONNEE CPTE AVANT OP]]</f>
        <v>0</v>
      </c>
      <c r="O88" s="17" t="str">
        <f>IF(ISBLANK(tblDonnées[[#This Row],[MONTANT AUTO]]), "N/A", ABS(tblDonnées[[#This Row],[POS  FUSIONNEE CPTE APRES OP]])-ABS(tblDonnées[[#This Row],[MONTANT AUTO]]))</f>
        <v>N/A</v>
      </c>
      <c r="P88" s="39" t="e">
        <f>tblDonnées[[#This Row],[DEPASSEMENT TOTAL SUR AUTO
]]/-tblDonnées[[#This Row],[MONTANT AUTO]]</f>
        <v>#VALUE!</v>
      </c>
      <c r="T88" s="17">
        <f>IF(tblDonnées[[#This Row],[0,5% du dép]]&lt;5000,5000,IF(tblDonnées[[#This Row],[0,5% du dép]]&gt;50000,50000,tblDonnées[[#This Row],[0,5% du dép]]))</f>
        <v>5000</v>
      </c>
      <c r="U88" s="10">
        <f>ABS(tblDonnées[[#This Row],[MONTANT DEPASSEMENT]]*0.005)</f>
        <v>0</v>
      </c>
      <c r="Z88" s="33"/>
    </row>
    <row r="89" spans="1:26" x14ac:dyDescent="0.25">
      <c r="A89" s="30"/>
      <c r="B89" s="12"/>
      <c r="D89" s="41"/>
      <c r="H89" s="21"/>
      <c r="J89" s="23"/>
      <c r="M8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89" s="38">
        <f>tblDonnées[[#This Row],[MONTANT OPERATION]]+tblDonnées[[#This Row],[POS  FUSIONNEE CPTE AVANT OP]]</f>
        <v>0</v>
      </c>
      <c r="O89" s="17" t="str">
        <f>IF(ISBLANK(tblDonnées[[#This Row],[MONTANT AUTO]]), "N/A", ABS(tblDonnées[[#This Row],[POS  FUSIONNEE CPTE APRES OP]])-ABS(tblDonnées[[#This Row],[MONTANT AUTO]]))</f>
        <v>N/A</v>
      </c>
      <c r="P89" s="39" t="e">
        <f>tblDonnées[[#This Row],[DEPASSEMENT TOTAL SUR AUTO
]]/-tblDonnées[[#This Row],[MONTANT AUTO]]</f>
        <v>#VALUE!</v>
      </c>
      <c r="T89" s="17">
        <f>IF(tblDonnées[[#This Row],[0,5% du dép]]&lt;5000,5000,IF(tblDonnées[[#This Row],[0,5% du dép]]&gt;50000,50000,tblDonnées[[#This Row],[0,5% du dép]]))</f>
        <v>5000</v>
      </c>
      <c r="U89" s="10">
        <f>ABS(tblDonnées[[#This Row],[MONTANT DEPASSEMENT]]*0.005)</f>
        <v>0</v>
      </c>
      <c r="Z89" s="33"/>
    </row>
    <row r="90" spans="1:26" x14ac:dyDescent="0.25">
      <c r="A90" s="30"/>
      <c r="B90" s="12"/>
      <c r="D90" s="41"/>
      <c r="H90" s="21"/>
      <c r="J90" s="23"/>
      <c r="M9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90" s="38">
        <f>tblDonnées[[#This Row],[MONTANT OPERATION]]+tblDonnées[[#This Row],[POS  FUSIONNEE CPTE AVANT OP]]</f>
        <v>0</v>
      </c>
      <c r="O90" s="17" t="str">
        <f>IF(ISBLANK(tblDonnées[[#This Row],[MONTANT AUTO]]), "N/A", ABS(tblDonnées[[#This Row],[POS  FUSIONNEE CPTE APRES OP]])-ABS(tblDonnées[[#This Row],[MONTANT AUTO]]))</f>
        <v>N/A</v>
      </c>
      <c r="P90" s="39" t="e">
        <f>tblDonnées[[#This Row],[DEPASSEMENT TOTAL SUR AUTO
]]/-tblDonnées[[#This Row],[MONTANT AUTO]]</f>
        <v>#VALUE!</v>
      </c>
      <c r="T90" s="17">
        <f>IF(tblDonnées[[#This Row],[0,5% du dép]]&lt;5000,5000,IF(tblDonnées[[#This Row],[0,5% du dép]]&gt;50000,50000,tblDonnées[[#This Row],[0,5% du dép]]))</f>
        <v>5000</v>
      </c>
      <c r="U90" s="10">
        <f>ABS(tblDonnées[[#This Row],[MONTANT DEPASSEMENT]]*0.005)</f>
        <v>0</v>
      </c>
      <c r="Z90" s="33"/>
    </row>
    <row r="91" spans="1:26" x14ac:dyDescent="0.25">
      <c r="A91" s="30"/>
      <c r="B91" s="12"/>
      <c r="D91" s="41"/>
      <c r="H91" s="21"/>
      <c r="J91" s="23"/>
      <c r="M9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91" s="38">
        <f>tblDonnées[[#This Row],[MONTANT OPERATION]]+tblDonnées[[#This Row],[POS  FUSIONNEE CPTE AVANT OP]]</f>
        <v>0</v>
      </c>
      <c r="O91" s="17" t="str">
        <f>IF(ISBLANK(tblDonnées[[#This Row],[MONTANT AUTO]]), "N/A", ABS(tblDonnées[[#This Row],[POS  FUSIONNEE CPTE APRES OP]])-ABS(tblDonnées[[#This Row],[MONTANT AUTO]]))</f>
        <v>N/A</v>
      </c>
      <c r="P91" s="39" t="e">
        <f>tblDonnées[[#This Row],[DEPASSEMENT TOTAL SUR AUTO
]]/-tblDonnées[[#This Row],[MONTANT AUTO]]</f>
        <v>#VALUE!</v>
      </c>
      <c r="T91" s="17">
        <f>IF(tblDonnées[[#This Row],[0,5% du dép]]&lt;5000,5000,IF(tblDonnées[[#This Row],[0,5% du dép]]&gt;50000,50000,tblDonnées[[#This Row],[0,5% du dép]]))</f>
        <v>5000</v>
      </c>
      <c r="U91" s="10">
        <f>ABS(tblDonnées[[#This Row],[MONTANT DEPASSEMENT]]*0.005)</f>
        <v>0</v>
      </c>
      <c r="Z91" s="33"/>
    </row>
    <row r="92" spans="1:26" x14ac:dyDescent="0.25">
      <c r="A92" s="30"/>
      <c r="B92" s="12"/>
      <c r="D92" s="41"/>
      <c r="H92" s="21"/>
      <c r="J92" s="23"/>
      <c r="M9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92" s="38">
        <f>tblDonnées[[#This Row],[MONTANT OPERATION]]+tblDonnées[[#This Row],[POS  FUSIONNEE CPTE AVANT OP]]</f>
        <v>0</v>
      </c>
      <c r="O92" s="17" t="str">
        <f>IF(ISBLANK(tblDonnées[[#This Row],[MONTANT AUTO]]), "N/A", ABS(tblDonnées[[#This Row],[POS  FUSIONNEE CPTE APRES OP]])-ABS(tblDonnées[[#This Row],[MONTANT AUTO]]))</f>
        <v>N/A</v>
      </c>
      <c r="P92" s="39" t="e">
        <f>tblDonnées[[#This Row],[DEPASSEMENT TOTAL SUR AUTO
]]/-tblDonnées[[#This Row],[MONTANT AUTO]]</f>
        <v>#VALUE!</v>
      </c>
      <c r="T92" s="17">
        <f>IF(tblDonnées[[#This Row],[0,5% du dép]]&lt;5000,5000,IF(tblDonnées[[#This Row],[0,5% du dép]]&gt;50000,50000,tblDonnées[[#This Row],[0,5% du dép]]))</f>
        <v>5000</v>
      </c>
      <c r="U92" s="10">
        <f>ABS(tblDonnées[[#This Row],[MONTANT DEPASSEMENT]]*0.005)</f>
        <v>0</v>
      </c>
      <c r="Z92" s="33"/>
    </row>
    <row r="93" spans="1:26" x14ac:dyDescent="0.25">
      <c r="A93" s="30"/>
      <c r="B93" s="12"/>
      <c r="D93" s="41"/>
      <c r="H93" s="21"/>
      <c r="J93" s="23"/>
      <c r="M9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93" s="38">
        <f>tblDonnées[[#This Row],[MONTANT OPERATION]]+tblDonnées[[#This Row],[POS  FUSIONNEE CPTE AVANT OP]]</f>
        <v>0</v>
      </c>
      <c r="O93" s="17" t="str">
        <f>IF(ISBLANK(tblDonnées[[#This Row],[MONTANT AUTO]]), "N/A", ABS(tblDonnées[[#This Row],[POS  FUSIONNEE CPTE APRES OP]])-ABS(tblDonnées[[#This Row],[MONTANT AUTO]]))</f>
        <v>N/A</v>
      </c>
      <c r="P93" s="39" t="e">
        <f>tblDonnées[[#This Row],[DEPASSEMENT TOTAL SUR AUTO
]]/-tblDonnées[[#This Row],[MONTANT AUTO]]</f>
        <v>#VALUE!</v>
      </c>
      <c r="T93" s="17">
        <f>IF(tblDonnées[[#This Row],[0,5% du dép]]&lt;5000,5000,IF(tblDonnées[[#This Row],[0,5% du dép]]&gt;50000,50000,tblDonnées[[#This Row],[0,5% du dép]]))</f>
        <v>5000</v>
      </c>
      <c r="U93" s="10">
        <f>ABS(tblDonnées[[#This Row],[MONTANT DEPASSEMENT]]*0.005)</f>
        <v>0</v>
      </c>
      <c r="Z93" s="33"/>
    </row>
    <row r="94" spans="1:26" x14ac:dyDescent="0.25">
      <c r="A94" s="30"/>
      <c r="B94" s="12"/>
      <c r="D94" s="41"/>
      <c r="H94" s="21"/>
      <c r="J94" s="23"/>
      <c r="M9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94" s="38">
        <f>tblDonnées[[#This Row],[MONTANT OPERATION]]+tblDonnées[[#This Row],[POS  FUSIONNEE CPTE AVANT OP]]</f>
        <v>0</v>
      </c>
      <c r="O94" s="17" t="str">
        <f>IF(ISBLANK(tblDonnées[[#This Row],[MONTANT AUTO]]), "N/A", ABS(tblDonnées[[#This Row],[POS  FUSIONNEE CPTE APRES OP]])-ABS(tblDonnées[[#This Row],[MONTANT AUTO]]))</f>
        <v>N/A</v>
      </c>
      <c r="P94" s="39" t="e">
        <f>tblDonnées[[#This Row],[DEPASSEMENT TOTAL SUR AUTO
]]/-tblDonnées[[#This Row],[MONTANT AUTO]]</f>
        <v>#VALUE!</v>
      </c>
      <c r="T94" s="17">
        <f>IF(tblDonnées[[#This Row],[0,5% du dép]]&lt;5000,5000,IF(tblDonnées[[#This Row],[0,5% du dép]]&gt;50000,50000,tblDonnées[[#This Row],[0,5% du dép]]))</f>
        <v>5000</v>
      </c>
      <c r="U94" s="10">
        <f>ABS(tblDonnées[[#This Row],[MONTANT DEPASSEMENT]]*0.005)</f>
        <v>0</v>
      </c>
      <c r="Z94" s="33"/>
    </row>
    <row r="95" spans="1:26" x14ac:dyDescent="0.25">
      <c r="A95" s="30"/>
      <c r="B95" s="12"/>
      <c r="D95" s="41"/>
      <c r="H95" s="21"/>
      <c r="J95" s="23"/>
      <c r="M9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95" s="38">
        <f>tblDonnées[[#This Row],[MONTANT OPERATION]]+tblDonnées[[#This Row],[POS  FUSIONNEE CPTE AVANT OP]]</f>
        <v>0</v>
      </c>
      <c r="O95" s="17" t="str">
        <f>IF(ISBLANK(tblDonnées[[#This Row],[MONTANT AUTO]]), "N/A", ABS(tblDonnées[[#This Row],[POS  FUSIONNEE CPTE APRES OP]])-ABS(tblDonnées[[#This Row],[MONTANT AUTO]]))</f>
        <v>N/A</v>
      </c>
      <c r="P95" s="39" t="e">
        <f>tblDonnées[[#This Row],[DEPASSEMENT TOTAL SUR AUTO
]]/-tblDonnées[[#This Row],[MONTANT AUTO]]</f>
        <v>#VALUE!</v>
      </c>
      <c r="T95" s="17">
        <f>IF(tblDonnées[[#This Row],[0,5% du dép]]&lt;5000,5000,IF(tblDonnées[[#This Row],[0,5% du dép]]&gt;50000,50000,tblDonnées[[#This Row],[0,5% du dép]]))</f>
        <v>5000</v>
      </c>
      <c r="U95" s="10">
        <f>ABS(tblDonnées[[#This Row],[MONTANT DEPASSEMENT]]*0.005)</f>
        <v>0</v>
      </c>
      <c r="Z95" s="33"/>
    </row>
    <row r="96" spans="1:26" x14ac:dyDescent="0.25">
      <c r="A96" s="30"/>
      <c r="B96" s="12"/>
      <c r="D96" s="41"/>
      <c r="H96" s="21"/>
      <c r="J96" s="23"/>
      <c r="M9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96" s="38">
        <f>tblDonnées[[#This Row],[MONTANT OPERATION]]+tblDonnées[[#This Row],[POS  FUSIONNEE CPTE AVANT OP]]</f>
        <v>0</v>
      </c>
      <c r="O96" s="17" t="str">
        <f>IF(ISBLANK(tblDonnées[[#This Row],[MONTANT AUTO]]), "N/A", ABS(tblDonnées[[#This Row],[POS  FUSIONNEE CPTE APRES OP]])-ABS(tblDonnées[[#This Row],[MONTANT AUTO]]))</f>
        <v>N/A</v>
      </c>
      <c r="P96" s="39" t="e">
        <f>tblDonnées[[#This Row],[DEPASSEMENT TOTAL SUR AUTO
]]/-tblDonnées[[#This Row],[MONTANT AUTO]]</f>
        <v>#VALUE!</v>
      </c>
      <c r="T96" s="17">
        <f>IF(tblDonnées[[#This Row],[0,5% du dép]]&lt;5000,5000,IF(tblDonnées[[#This Row],[0,5% du dép]]&gt;50000,50000,tblDonnées[[#This Row],[0,5% du dép]]))</f>
        <v>5000</v>
      </c>
      <c r="U96" s="10">
        <f>ABS(tblDonnées[[#This Row],[MONTANT DEPASSEMENT]]*0.005)</f>
        <v>0</v>
      </c>
      <c r="Z96" s="33"/>
    </row>
    <row r="97" spans="1:26" x14ac:dyDescent="0.25">
      <c r="A97" s="30"/>
      <c r="B97" s="12"/>
      <c r="D97" s="41"/>
      <c r="H97" s="21"/>
      <c r="J97" s="23"/>
      <c r="M9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97" s="38">
        <f>tblDonnées[[#This Row],[MONTANT OPERATION]]+tblDonnées[[#This Row],[POS  FUSIONNEE CPTE AVANT OP]]</f>
        <v>0</v>
      </c>
      <c r="O97" s="17" t="str">
        <f>IF(ISBLANK(tblDonnées[[#This Row],[MONTANT AUTO]]), "N/A", ABS(tblDonnées[[#This Row],[POS  FUSIONNEE CPTE APRES OP]])-ABS(tblDonnées[[#This Row],[MONTANT AUTO]]))</f>
        <v>N/A</v>
      </c>
      <c r="P97" s="39" t="e">
        <f>tblDonnées[[#This Row],[DEPASSEMENT TOTAL SUR AUTO
]]/-tblDonnées[[#This Row],[MONTANT AUTO]]</f>
        <v>#VALUE!</v>
      </c>
      <c r="T97" s="17">
        <f>IF(tblDonnées[[#This Row],[0,5% du dép]]&lt;5000,5000,IF(tblDonnées[[#This Row],[0,5% du dép]]&gt;50000,50000,tblDonnées[[#This Row],[0,5% du dép]]))</f>
        <v>5000</v>
      </c>
      <c r="U97" s="10">
        <f>ABS(tblDonnées[[#This Row],[MONTANT DEPASSEMENT]]*0.005)</f>
        <v>0</v>
      </c>
      <c r="Z97" s="33"/>
    </row>
    <row r="98" spans="1:26" x14ac:dyDescent="0.25">
      <c r="A98" s="30"/>
      <c r="B98" s="12"/>
      <c r="D98" s="41"/>
      <c r="E98" s="11"/>
      <c r="H98" s="21"/>
      <c r="J98" s="23"/>
      <c r="M9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98" s="38">
        <f>tblDonnées[[#This Row],[MONTANT OPERATION]]+tblDonnées[[#This Row],[POS  FUSIONNEE CPTE AVANT OP]]</f>
        <v>0</v>
      </c>
      <c r="O98" s="17" t="str">
        <f>IF(ISBLANK(tblDonnées[[#This Row],[MONTANT AUTO]]), "N/A", ABS(tblDonnées[[#This Row],[POS  FUSIONNEE CPTE APRES OP]])-ABS(tblDonnées[[#This Row],[MONTANT AUTO]]))</f>
        <v>N/A</v>
      </c>
      <c r="P98" s="39" t="e">
        <f>tblDonnées[[#This Row],[DEPASSEMENT TOTAL SUR AUTO
]]/-tblDonnées[[#This Row],[MONTANT AUTO]]</f>
        <v>#VALUE!</v>
      </c>
      <c r="T98" s="17">
        <f>IF(tblDonnées[[#This Row],[0,5% du dép]]&lt;5000,5000,IF(tblDonnées[[#This Row],[0,5% du dép]]&gt;50000,50000,tblDonnées[[#This Row],[0,5% du dép]]))</f>
        <v>5000</v>
      </c>
      <c r="U98" s="10">
        <f>ABS(tblDonnées[[#This Row],[MONTANT DEPASSEMENT]]*0.005)</f>
        <v>0</v>
      </c>
      <c r="Z98" s="33"/>
    </row>
    <row r="99" spans="1:26" x14ac:dyDescent="0.25">
      <c r="A99" s="30"/>
      <c r="B99" s="12"/>
      <c r="D99" s="41"/>
      <c r="H99" s="21"/>
      <c r="J99" s="23"/>
      <c r="M9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99" s="38">
        <f>tblDonnées[[#This Row],[MONTANT OPERATION]]+tblDonnées[[#This Row],[POS  FUSIONNEE CPTE AVANT OP]]</f>
        <v>0</v>
      </c>
      <c r="O99" s="17" t="str">
        <f>IF(ISBLANK(tblDonnées[[#This Row],[MONTANT AUTO]]), "N/A", ABS(tblDonnées[[#This Row],[POS  FUSIONNEE CPTE APRES OP]])-ABS(tblDonnées[[#This Row],[MONTANT AUTO]]))</f>
        <v>N/A</v>
      </c>
      <c r="P99" s="39" t="e">
        <f>tblDonnées[[#This Row],[DEPASSEMENT TOTAL SUR AUTO
]]/-tblDonnées[[#This Row],[MONTANT AUTO]]</f>
        <v>#VALUE!</v>
      </c>
      <c r="T99" s="17">
        <f>IF(tblDonnées[[#This Row],[0,5% du dép]]&lt;5000,5000,IF(tblDonnées[[#This Row],[0,5% du dép]]&gt;50000,50000,tblDonnées[[#This Row],[0,5% du dép]]))</f>
        <v>5000</v>
      </c>
      <c r="U99" s="10">
        <f>ABS(tblDonnées[[#This Row],[MONTANT DEPASSEMENT]]*0.005)</f>
        <v>0</v>
      </c>
      <c r="Z99" s="33"/>
    </row>
    <row r="100" spans="1:26" x14ac:dyDescent="0.25">
      <c r="A100" s="30"/>
      <c r="B100" s="12"/>
      <c r="D100" s="41"/>
      <c r="H100" s="21"/>
      <c r="J100" s="23"/>
      <c r="M10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00" s="38">
        <f>tblDonnées[[#This Row],[MONTANT OPERATION]]+tblDonnées[[#This Row],[POS  FUSIONNEE CPTE AVANT OP]]</f>
        <v>0</v>
      </c>
      <c r="O100" s="17" t="str">
        <f>IF(ISBLANK(tblDonnées[[#This Row],[MONTANT AUTO]]), "N/A", ABS(tblDonnées[[#This Row],[POS  FUSIONNEE CPTE APRES OP]])-ABS(tblDonnées[[#This Row],[MONTANT AUTO]]))</f>
        <v>N/A</v>
      </c>
      <c r="P100" s="39" t="e">
        <f>tblDonnées[[#This Row],[DEPASSEMENT TOTAL SUR AUTO
]]/-tblDonnées[[#This Row],[MONTANT AUTO]]</f>
        <v>#VALUE!</v>
      </c>
      <c r="T100" s="17">
        <f>IF(tblDonnées[[#This Row],[0,5% du dép]]&lt;5000,5000,IF(tblDonnées[[#This Row],[0,5% du dép]]&gt;50000,50000,tblDonnées[[#This Row],[0,5% du dép]]))</f>
        <v>5000</v>
      </c>
      <c r="U100" s="10">
        <f>ABS(tblDonnées[[#This Row],[MONTANT DEPASSEMENT]]*0.005)</f>
        <v>0</v>
      </c>
      <c r="Z100" s="33"/>
    </row>
    <row r="101" spans="1:26" x14ac:dyDescent="0.25">
      <c r="A101" s="30"/>
      <c r="B101" s="12"/>
      <c r="D101" s="41"/>
      <c r="H101" s="21"/>
      <c r="J101" s="23"/>
      <c r="M10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01" s="38">
        <f>tblDonnées[[#This Row],[MONTANT OPERATION]]+tblDonnées[[#This Row],[POS  FUSIONNEE CPTE AVANT OP]]</f>
        <v>0</v>
      </c>
      <c r="O101" s="17" t="str">
        <f>IF(ISBLANK(tblDonnées[[#This Row],[MONTANT AUTO]]), "N/A", ABS(tblDonnées[[#This Row],[POS  FUSIONNEE CPTE APRES OP]])-ABS(tblDonnées[[#This Row],[MONTANT AUTO]]))</f>
        <v>N/A</v>
      </c>
      <c r="P101" s="39" t="e">
        <f>tblDonnées[[#This Row],[DEPASSEMENT TOTAL SUR AUTO
]]/-tblDonnées[[#This Row],[MONTANT AUTO]]</f>
        <v>#VALUE!</v>
      </c>
      <c r="T101" s="17">
        <f>IF(tblDonnées[[#This Row],[0,5% du dép]]&lt;5000,5000,IF(tblDonnées[[#This Row],[0,5% du dép]]&gt;50000,50000,tblDonnées[[#This Row],[0,5% du dép]]))</f>
        <v>5000</v>
      </c>
      <c r="U101" s="10">
        <f>ABS(tblDonnées[[#This Row],[MONTANT DEPASSEMENT]]*0.005)</f>
        <v>0</v>
      </c>
      <c r="Z101" s="33"/>
    </row>
    <row r="102" spans="1:26" x14ac:dyDescent="0.25">
      <c r="A102" s="30"/>
      <c r="B102" s="12"/>
      <c r="D102" s="41"/>
      <c r="H102" s="21"/>
      <c r="J102" s="23"/>
      <c r="M10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02" s="38">
        <f>tblDonnées[[#This Row],[MONTANT OPERATION]]+tblDonnées[[#This Row],[POS  FUSIONNEE CPTE AVANT OP]]</f>
        <v>0</v>
      </c>
      <c r="O102" s="17" t="str">
        <f>IF(ISBLANK(tblDonnées[[#This Row],[MONTANT AUTO]]), "N/A", ABS(tblDonnées[[#This Row],[POS  FUSIONNEE CPTE APRES OP]])-ABS(tblDonnées[[#This Row],[MONTANT AUTO]]))</f>
        <v>N/A</v>
      </c>
      <c r="P102" s="39" t="e">
        <f>tblDonnées[[#This Row],[DEPASSEMENT TOTAL SUR AUTO
]]/-tblDonnées[[#This Row],[MONTANT AUTO]]</f>
        <v>#VALUE!</v>
      </c>
      <c r="T102" s="17">
        <f>IF(tblDonnées[[#This Row],[0,5% du dép]]&lt;5000,5000,IF(tblDonnées[[#This Row],[0,5% du dép]]&gt;50000,50000,tblDonnées[[#This Row],[0,5% du dép]]))</f>
        <v>5000</v>
      </c>
      <c r="U102" s="10">
        <f>ABS(tblDonnées[[#This Row],[MONTANT DEPASSEMENT]]*0.005)</f>
        <v>0</v>
      </c>
      <c r="Z102" s="33"/>
    </row>
    <row r="103" spans="1:26" x14ac:dyDescent="0.25">
      <c r="A103" s="30"/>
      <c r="B103" s="12"/>
      <c r="D103" s="41"/>
      <c r="H103" s="21"/>
      <c r="J103" s="23"/>
      <c r="M10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03" s="38">
        <f>tblDonnées[[#This Row],[MONTANT OPERATION]]+tblDonnées[[#This Row],[POS  FUSIONNEE CPTE AVANT OP]]</f>
        <v>0</v>
      </c>
      <c r="O103" s="17" t="str">
        <f>IF(ISBLANK(tblDonnées[[#This Row],[MONTANT AUTO]]), "N/A", ABS(tblDonnées[[#This Row],[POS  FUSIONNEE CPTE APRES OP]])-ABS(tblDonnées[[#This Row],[MONTANT AUTO]]))</f>
        <v>N/A</v>
      </c>
      <c r="P103" s="39" t="e">
        <f>tblDonnées[[#This Row],[DEPASSEMENT TOTAL SUR AUTO
]]/-tblDonnées[[#This Row],[MONTANT AUTO]]</f>
        <v>#VALUE!</v>
      </c>
      <c r="T103" s="17">
        <f>IF(tblDonnées[[#This Row],[0,5% du dép]]&lt;5000,5000,IF(tblDonnées[[#This Row],[0,5% du dép]]&gt;50000,50000,tblDonnées[[#This Row],[0,5% du dép]]))</f>
        <v>5000</v>
      </c>
      <c r="U103" s="10">
        <f>ABS(tblDonnées[[#This Row],[MONTANT DEPASSEMENT]]*0.005)</f>
        <v>0</v>
      </c>
      <c r="Z103" s="33"/>
    </row>
    <row r="104" spans="1:26" x14ac:dyDescent="0.25">
      <c r="A104" s="30"/>
      <c r="B104" s="12"/>
      <c r="D104" s="41"/>
      <c r="H104" s="21"/>
      <c r="J104" s="23"/>
      <c r="M10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04" s="38">
        <f>tblDonnées[[#This Row],[MONTANT OPERATION]]+tblDonnées[[#This Row],[POS  FUSIONNEE CPTE AVANT OP]]</f>
        <v>0</v>
      </c>
      <c r="O104" s="17" t="str">
        <f>IF(ISBLANK(tblDonnées[[#This Row],[MONTANT AUTO]]), "N/A", ABS(tblDonnées[[#This Row],[POS  FUSIONNEE CPTE APRES OP]])-ABS(tblDonnées[[#This Row],[MONTANT AUTO]]))</f>
        <v>N/A</v>
      </c>
      <c r="P104" s="39" t="e">
        <f>tblDonnées[[#This Row],[DEPASSEMENT TOTAL SUR AUTO
]]/-tblDonnées[[#This Row],[MONTANT AUTO]]</f>
        <v>#VALUE!</v>
      </c>
      <c r="T104" s="17">
        <f>IF(tblDonnées[[#This Row],[0,5% du dép]]&lt;5000,5000,IF(tblDonnées[[#This Row],[0,5% du dép]]&gt;50000,50000,tblDonnées[[#This Row],[0,5% du dép]]))</f>
        <v>5000</v>
      </c>
      <c r="U104" s="10">
        <f>ABS(tblDonnées[[#This Row],[MONTANT DEPASSEMENT]]*0.005)</f>
        <v>0</v>
      </c>
      <c r="Z104" s="33"/>
    </row>
    <row r="105" spans="1:26" x14ac:dyDescent="0.25">
      <c r="A105" s="30"/>
      <c r="B105" s="12"/>
      <c r="D105" s="41"/>
      <c r="H105" s="21"/>
      <c r="J105" s="23"/>
      <c r="M10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05" s="38">
        <f>tblDonnées[[#This Row],[MONTANT OPERATION]]+tblDonnées[[#This Row],[POS  FUSIONNEE CPTE AVANT OP]]</f>
        <v>0</v>
      </c>
      <c r="O105" s="17" t="str">
        <f>IF(ISBLANK(tblDonnées[[#This Row],[MONTANT AUTO]]), "N/A", ABS(tblDonnées[[#This Row],[POS  FUSIONNEE CPTE APRES OP]])-ABS(tblDonnées[[#This Row],[MONTANT AUTO]]))</f>
        <v>N/A</v>
      </c>
      <c r="P105" s="39" t="e">
        <f>tblDonnées[[#This Row],[DEPASSEMENT TOTAL SUR AUTO
]]/-tblDonnées[[#This Row],[MONTANT AUTO]]</f>
        <v>#VALUE!</v>
      </c>
      <c r="T105" s="17">
        <f>IF(tblDonnées[[#This Row],[0,5% du dép]]&lt;5000,5000,IF(tblDonnées[[#This Row],[0,5% du dép]]&gt;50000,50000,tblDonnées[[#This Row],[0,5% du dép]]))</f>
        <v>5000</v>
      </c>
      <c r="U105" s="10">
        <f>ABS(tblDonnées[[#This Row],[MONTANT DEPASSEMENT]]*0.005)</f>
        <v>0</v>
      </c>
      <c r="Z105" s="33"/>
    </row>
    <row r="106" spans="1:26" x14ac:dyDescent="0.25">
      <c r="A106" s="30"/>
      <c r="B106" s="12"/>
      <c r="D106" s="41"/>
      <c r="E106" s="21"/>
      <c r="H106" s="21"/>
      <c r="J106" s="23"/>
      <c r="M10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06" s="38">
        <f>tblDonnées[[#This Row],[MONTANT OPERATION]]+tblDonnées[[#This Row],[POS  FUSIONNEE CPTE AVANT OP]]</f>
        <v>0</v>
      </c>
      <c r="O106" s="17" t="str">
        <f>IF(ISBLANK(tblDonnées[[#This Row],[MONTANT AUTO]]), "N/A", ABS(tblDonnées[[#This Row],[POS  FUSIONNEE CPTE APRES OP]])-ABS(tblDonnées[[#This Row],[MONTANT AUTO]]))</f>
        <v>N/A</v>
      </c>
      <c r="P106" s="39" t="e">
        <f>tblDonnées[[#This Row],[DEPASSEMENT TOTAL SUR AUTO
]]/-tblDonnées[[#This Row],[MONTANT AUTO]]</f>
        <v>#VALUE!</v>
      </c>
      <c r="T106" s="17">
        <f>IF(tblDonnées[[#This Row],[0,5% du dép]]&lt;5000,5000,IF(tblDonnées[[#This Row],[0,5% du dép]]&gt;50000,50000,tblDonnées[[#This Row],[0,5% du dép]]))</f>
        <v>5000</v>
      </c>
      <c r="U106" s="10">
        <f>ABS(tblDonnées[[#This Row],[MONTANT DEPASSEMENT]]*0.005)</f>
        <v>0</v>
      </c>
      <c r="Z106" s="33"/>
    </row>
    <row r="107" spans="1:26" x14ac:dyDescent="0.25">
      <c r="A107" s="30"/>
      <c r="B107" s="12"/>
      <c r="D107" s="41"/>
      <c r="E107" s="21"/>
      <c r="H107" s="21"/>
      <c r="J107" s="23"/>
      <c r="M10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07" s="38">
        <f>tblDonnées[[#This Row],[MONTANT OPERATION]]+tblDonnées[[#This Row],[POS  FUSIONNEE CPTE AVANT OP]]</f>
        <v>0</v>
      </c>
      <c r="O107" s="17" t="str">
        <f>IF(ISBLANK(tblDonnées[[#This Row],[MONTANT AUTO]]), "N/A", ABS(tblDonnées[[#This Row],[POS  FUSIONNEE CPTE APRES OP]])-ABS(tblDonnées[[#This Row],[MONTANT AUTO]]))</f>
        <v>N/A</v>
      </c>
      <c r="P107" s="39" t="e">
        <f>tblDonnées[[#This Row],[DEPASSEMENT TOTAL SUR AUTO
]]/-tblDonnées[[#This Row],[MONTANT AUTO]]</f>
        <v>#VALUE!</v>
      </c>
      <c r="T107" s="17">
        <f>IF(tblDonnées[[#This Row],[0,5% du dép]]&lt;5000,5000,IF(tblDonnées[[#This Row],[0,5% du dép]]&gt;50000,50000,tblDonnées[[#This Row],[0,5% du dép]]))</f>
        <v>5000</v>
      </c>
      <c r="U107" s="10">
        <f>ABS(tblDonnées[[#This Row],[MONTANT DEPASSEMENT]]*0.005)</f>
        <v>0</v>
      </c>
      <c r="Z107" s="33"/>
    </row>
    <row r="108" spans="1:26" x14ac:dyDescent="0.25">
      <c r="A108" s="30"/>
      <c r="B108" s="12"/>
      <c r="D108" s="41"/>
      <c r="H108" s="21"/>
      <c r="J108" s="23"/>
      <c r="M10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08" s="38">
        <f>tblDonnées[[#This Row],[MONTANT OPERATION]]+tblDonnées[[#This Row],[POS  FUSIONNEE CPTE AVANT OP]]</f>
        <v>0</v>
      </c>
      <c r="O108" s="17" t="str">
        <f>IF(ISBLANK(tblDonnées[[#This Row],[MONTANT AUTO]]), "N/A", ABS(tblDonnées[[#This Row],[POS  FUSIONNEE CPTE APRES OP]])-ABS(tblDonnées[[#This Row],[MONTANT AUTO]]))</f>
        <v>N/A</v>
      </c>
      <c r="P108" s="39" t="e">
        <f>tblDonnées[[#This Row],[DEPASSEMENT TOTAL SUR AUTO
]]/-tblDonnées[[#This Row],[MONTANT AUTO]]</f>
        <v>#VALUE!</v>
      </c>
      <c r="T108" s="17">
        <f>IF(tblDonnées[[#This Row],[0,5% du dép]]&lt;5000,5000,IF(tblDonnées[[#This Row],[0,5% du dép]]&gt;50000,50000,tblDonnées[[#This Row],[0,5% du dép]]))</f>
        <v>5000</v>
      </c>
      <c r="U108" s="10">
        <f>ABS(tblDonnées[[#This Row],[MONTANT DEPASSEMENT]]*0.005)</f>
        <v>0</v>
      </c>
      <c r="Z108" s="33"/>
    </row>
    <row r="109" spans="1:26" x14ac:dyDescent="0.25">
      <c r="A109" s="30"/>
      <c r="B109" s="12"/>
      <c r="D109" s="41"/>
      <c r="H109" s="21"/>
      <c r="J109" s="23"/>
      <c r="M10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09" s="38">
        <f>tblDonnées[[#This Row],[MONTANT OPERATION]]+tblDonnées[[#This Row],[POS  FUSIONNEE CPTE AVANT OP]]</f>
        <v>0</v>
      </c>
      <c r="O109" s="17" t="str">
        <f>IF(ISBLANK(tblDonnées[[#This Row],[MONTANT AUTO]]), "N/A", ABS(tblDonnées[[#This Row],[POS  FUSIONNEE CPTE APRES OP]])-ABS(tblDonnées[[#This Row],[MONTANT AUTO]]))</f>
        <v>N/A</v>
      </c>
      <c r="P109" s="39" t="e">
        <f>tblDonnées[[#This Row],[DEPASSEMENT TOTAL SUR AUTO
]]/-tblDonnées[[#This Row],[MONTANT AUTO]]</f>
        <v>#VALUE!</v>
      </c>
      <c r="T109" s="17">
        <f>IF(tblDonnées[[#This Row],[0,5% du dép]]&lt;5000,5000,IF(tblDonnées[[#This Row],[0,5% du dép]]&gt;50000,50000,tblDonnées[[#This Row],[0,5% du dép]]))</f>
        <v>5000</v>
      </c>
      <c r="U109" s="10">
        <f>ABS(tblDonnées[[#This Row],[MONTANT DEPASSEMENT]]*0.005)</f>
        <v>0</v>
      </c>
      <c r="Z109" s="33"/>
    </row>
    <row r="110" spans="1:26" x14ac:dyDescent="0.25">
      <c r="A110" s="30"/>
      <c r="B110" s="12"/>
      <c r="D110" s="41"/>
      <c r="E110" s="21"/>
      <c r="H110" s="21"/>
      <c r="J110" s="23"/>
      <c r="M11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10" s="38">
        <f>tblDonnées[[#This Row],[MONTANT OPERATION]]+tblDonnées[[#This Row],[POS  FUSIONNEE CPTE AVANT OP]]</f>
        <v>0</v>
      </c>
      <c r="O110" s="17" t="str">
        <f>IF(ISBLANK(tblDonnées[[#This Row],[MONTANT AUTO]]), "N/A", ABS(tblDonnées[[#This Row],[POS  FUSIONNEE CPTE APRES OP]])-ABS(tblDonnées[[#This Row],[MONTANT AUTO]]))</f>
        <v>N/A</v>
      </c>
      <c r="P110" s="39" t="e">
        <f>tblDonnées[[#This Row],[DEPASSEMENT TOTAL SUR AUTO
]]/-tblDonnées[[#This Row],[MONTANT AUTO]]</f>
        <v>#VALUE!</v>
      </c>
      <c r="T110" s="17">
        <f>IF(tblDonnées[[#This Row],[0,5% du dép]]&lt;5000,5000,IF(tblDonnées[[#This Row],[0,5% du dép]]&gt;50000,50000,tblDonnées[[#This Row],[0,5% du dép]]))</f>
        <v>5000</v>
      </c>
      <c r="U110" s="10">
        <f>ABS(tblDonnées[[#This Row],[MONTANT DEPASSEMENT]]*0.005)</f>
        <v>0</v>
      </c>
      <c r="Z110" s="33"/>
    </row>
    <row r="111" spans="1:26" x14ac:dyDescent="0.25">
      <c r="A111" s="30"/>
      <c r="B111" s="12"/>
      <c r="D111" s="41"/>
      <c r="H111" s="21"/>
      <c r="J111" s="23"/>
      <c r="M11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11" s="38">
        <f>tblDonnées[[#This Row],[MONTANT OPERATION]]+tblDonnées[[#This Row],[POS  FUSIONNEE CPTE AVANT OP]]</f>
        <v>0</v>
      </c>
      <c r="O111" s="17" t="str">
        <f>IF(ISBLANK(tblDonnées[[#This Row],[MONTANT AUTO]]), "N/A", ABS(tblDonnées[[#This Row],[POS  FUSIONNEE CPTE APRES OP]])-ABS(tblDonnées[[#This Row],[MONTANT AUTO]]))</f>
        <v>N/A</v>
      </c>
      <c r="P111" s="39" t="e">
        <f>tblDonnées[[#This Row],[DEPASSEMENT TOTAL SUR AUTO
]]/-tblDonnées[[#This Row],[MONTANT AUTO]]</f>
        <v>#VALUE!</v>
      </c>
      <c r="T111" s="17">
        <f>IF(tblDonnées[[#This Row],[0,5% du dép]]&lt;5000,5000,IF(tblDonnées[[#This Row],[0,5% du dép]]&gt;50000,50000,tblDonnées[[#This Row],[0,5% du dép]]))</f>
        <v>5000</v>
      </c>
      <c r="U111" s="10">
        <f>ABS(tblDonnées[[#This Row],[MONTANT DEPASSEMENT]]*0.005)</f>
        <v>0</v>
      </c>
      <c r="Z111" s="33"/>
    </row>
    <row r="112" spans="1:26" x14ac:dyDescent="0.25">
      <c r="A112" s="30"/>
      <c r="B112" s="12"/>
      <c r="D112" s="41"/>
      <c r="E112" s="21"/>
      <c r="F112" s="21"/>
      <c r="H112" s="21"/>
      <c r="J112" s="23"/>
      <c r="M11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12" s="38">
        <f>tblDonnées[[#This Row],[MONTANT OPERATION]]+tblDonnées[[#This Row],[POS  FUSIONNEE CPTE AVANT OP]]</f>
        <v>0</v>
      </c>
      <c r="O112" s="17" t="str">
        <f>IF(ISBLANK(tblDonnées[[#This Row],[MONTANT AUTO]]), "N/A", ABS(tblDonnées[[#This Row],[POS  FUSIONNEE CPTE APRES OP]])-ABS(tblDonnées[[#This Row],[MONTANT AUTO]]))</f>
        <v>N/A</v>
      </c>
      <c r="P112" s="39" t="e">
        <f>tblDonnées[[#This Row],[DEPASSEMENT TOTAL SUR AUTO
]]/-tblDonnées[[#This Row],[MONTANT AUTO]]</f>
        <v>#VALUE!</v>
      </c>
      <c r="T112" s="17">
        <f>IF(tblDonnées[[#This Row],[0,5% du dép]]&lt;5000,5000,IF(tblDonnées[[#This Row],[0,5% du dép]]&gt;50000,50000,tblDonnées[[#This Row],[0,5% du dép]]))</f>
        <v>5000</v>
      </c>
      <c r="U112" s="10">
        <f>ABS(tblDonnées[[#This Row],[MONTANT DEPASSEMENT]]*0.005)</f>
        <v>0</v>
      </c>
      <c r="Z112" s="33"/>
    </row>
    <row r="113" spans="1:26" x14ac:dyDescent="0.25">
      <c r="A113" s="30"/>
      <c r="B113" s="12"/>
      <c r="D113" s="41"/>
      <c r="E113" s="21"/>
      <c r="H113" s="21"/>
      <c r="J113" s="23"/>
      <c r="M11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13" s="38">
        <f>tblDonnées[[#This Row],[MONTANT OPERATION]]+tblDonnées[[#This Row],[POS  FUSIONNEE CPTE AVANT OP]]</f>
        <v>0</v>
      </c>
      <c r="O113" s="17" t="str">
        <f>IF(ISBLANK(tblDonnées[[#This Row],[MONTANT AUTO]]), "N/A", ABS(tblDonnées[[#This Row],[POS  FUSIONNEE CPTE APRES OP]])-ABS(tblDonnées[[#This Row],[MONTANT AUTO]]))</f>
        <v>N/A</v>
      </c>
      <c r="P113" s="39" t="e">
        <f>tblDonnées[[#This Row],[DEPASSEMENT TOTAL SUR AUTO
]]/-tblDonnées[[#This Row],[MONTANT AUTO]]</f>
        <v>#VALUE!</v>
      </c>
      <c r="T113" s="17">
        <f>IF(tblDonnées[[#This Row],[0,5% du dép]]&lt;5000,5000,IF(tblDonnées[[#This Row],[0,5% du dép]]&gt;50000,50000,tblDonnées[[#This Row],[0,5% du dép]]))</f>
        <v>5000</v>
      </c>
      <c r="U113" s="10">
        <f>ABS(tblDonnées[[#This Row],[MONTANT DEPASSEMENT]]*0.005)</f>
        <v>0</v>
      </c>
      <c r="Z113" s="33"/>
    </row>
    <row r="114" spans="1:26" x14ac:dyDescent="0.25">
      <c r="A114" s="30"/>
      <c r="B114" s="12"/>
      <c r="D114" s="41"/>
      <c r="H114" s="21"/>
      <c r="J114" s="23"/>
      <c r="M11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14" s="38">
        <f>tblDonnées[[#This Row],[MONTANT OPERATION]]+tblDonnées[[#This Row],[POS  FUSIONNEE CPTE AVANT OP]]</f>
        <v>0</v>
      </c>
      <c r="O114" s="17" t="str">
        <f>IF(ISBLANK(tblDonnées[[#This Row],[MONTANT AUTO]]), "N/A", ABS(tblDonnées[[#This Row],[POS  FUSIONNEE CPTE APRES OP]])-ABS(tblDonnées[[#This Row],[MONTANT AUTO]]))</f>
        <v>N/A</v>
      </c>
      <c r="P114" s="39" t="e">
        <f>tblDonnées[[#This Row],[DEPASSEMENT TOTAL SUR AUTO
]]/-tblDonnées[[#This Row],[MONTANT AUTO]]</f>
        <v>#VALUE!</v>
      </c>
      <c r="T114" s="17">
        <f>IF(tblDonnées[[#This Row],[0,5% du dép]]&lt;5000,5000,IF(tblDonnées[[#This Row],[0,5% du dép]]&gt;50000,50000,tblDonnées[[#This Row],[0,5% du dép]]))</f>
        <v>5000</v>
      </c>
      <c r="U114" s="10">
        <f>ABS(tblDonnées[[#This Row],[MONTANT DEPASSEMENT]]*0.005)</f>
        <v>0</v>
      </c>
      <c r="Z114" s="33"/>
    </row>
    <row r="115" spans="1:26" x14ac:dyDescent="0.25">
      <c r="A115" s="30"/>
      <c r="B115" s="12"/>
      <c r="D115" s="41"/>
      <c r="H115" s="21"/>
      <c r="J115" s="23"/>
      <c r="M11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15" s="38">
        <f>tblDonnées[[#This Row],[MONTANT OPERATION]]+tblDonnées[[#This Row],[POS  FUSIONNEE CPTE AVANT OP]]</f>
        <v>0</v>
      </c>
      <c r="O115" s="17" t="str">
        <f>IF(ISBLANK(tblDonnées[[#This Row],[MONTANT AUTO]]), "N/A", ABS(tblDonnées[[#This Row],[POS  FUSIONNEE CPTE APRES OP]])-ABS(tblDonnées[[#This Row],[MONTANT AUTO]]))</f>
        <v>N/A</v>
      </c>
      <c r="P115" s="39" t="e">
        <f>tblDonnées[[#This Row],[DEPASSEMENT TOTAL SUR AUTO
]]/-tblDonnées[[#This Row],[MONTANT AUTO]]</f>
        <v>#VALUE!</v>
      </c>
      <c r="T115" s="17">
        <f>IF(tblDonnées[[#This Row],[0,5% du dép]]&lt;5000,5000,IF(tblDonnées[[#This Row],[0,5% du dép]]&gt;50000,50000,tblDonnées[[#This Row],[0,5% du dép]]))</f>
        <v>5000</v>
      </c>
      <c r="U115" s="10">
        <f>ABS(tblDonnées[[#This Row],[MONTANT DEPASSEMENT]]*0.005)</f>
        <v>0</v>
      </c>
      <c r="Z115" s="33"/>
    </row>
    <row r="116" spans="1:26" x14ac:dyDescent="0.25">
      <c r="A116" s="30"/>
      <c r="B116" s="12"/>
      <c r="D116" s="41"/>
      <c r="E116" s="21"/>
      <c r="H116" s="21"/>
      <c r="J116" s="23"/>
      <c r="M11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16" s="38">
        <f>tblDonnées[[#This Row],[MONTANT OPERATION]]+tblDonnées[[#This Row],[POS  FUSIONNEE CPTE AVANT OP]]</f>
        <v>0</v>
      </c>
      <c r="O116" s="17" t="str">
        <f>IF(ISBLANK(tblDonnées[[#This Row],[MONTANT AUTO]]), "N/A", ABS(tblDonnées[[#This Row],[POS  FUSIONNEE CPTE APRES OP]])-ABS(tblDonnées[[#This Row],[MONTANT AUTO]]))</f>
        <v>N/A</v>
      </c>
      <c r="P116" s="39" t="e">
        <f>tblDonnées[[#This Row],[DEPASSEMENT TOTAL SUR AUTO
]]/-tblDonnées[[#This Row],[MONTANT AUTO]]</f>
        <v>#VALUE!</v>
      </c>
      <c r="T116" s="17">
        <f>IF(tblDonnées[[#This Row],[0,5% du dép]]&lt;5000,5000,IF(tblDonnées[[#This Row],[0,5% du dép]]&gt;50000,50000,tblDonnées[[#This Row],[0,5% du dép]]))</f>
        <v>5000</v>
      </c>
      <c r="U116" s="10">
        <f>ABS(tblDonnées[[#This Row],[MONTANT DEPASSEMENT]]*0.005)</f>
        <v>0</v>
      </c>
      <c r="Z116" s="33"/>
    </row>
    <row r="117" spans="1:26" x14ac:dyDescent="0.25">
      <c r="A117" s="30"/>
      <c r="B117" s="12"/>
      <c r="D117" s="41"/>
      <c r="E117" s="21"/>
      <c r="F117" s="21"/>
      <c r="H117" s="21"/>
      <c r="J117" s="23"/>
      <c r="M11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17" s="38">
        <f>tblDonnées[[#This Row],[MONTANT OPERATION]]+tblDonnées[[#This Row],[POS  FUSIONNEE CPTE AVANT OP]]</f>
        <v>0</v>
      </c>
      <c r="O117" s="17" t="str">
        <f>IF(ISBLANK(tblDonnées[[#This Row],[MONTANT AUTO]]), "N/A", ABS(tblDonnées[[#This Row],[POS  FUSIONNEE CPTE APRES OP]])-ABS(tblDonnées[[#This Row],[MONTANT AUTO]]))</f>
        <v>N/A</v>
      </c>
      <c r="P117" s="39" t="e">
        <f>tblDonnées[[#This Row],[DEPASSEMENT TOTAL SUR AUTO
]]/-tblDonnées[[#This Row],[MONTANT AUTO]]</f>
        <v>#VALUE!</v>
      </c>
      <c r="T117" s="17">
        <f>IF(tblDonnées[[#This Row],[0,5% du dép]]&lt;5000,5000,IF(tblDonnées[[#This Row],[0,5% du dép]]&gt;50000,50000,tblDonnées[[#This Row],[0,5% du dép]]))</f>
        <v>5000</v>
      </c>
      <c r="U117" s="10">
        <f>ABS(tblDonnées[[#This Row],[MONTANT DEPASSEMENT]]*0.005)</f>
        <v>0</v>
      </c>
      <c r="Z117" s="33"/>
    </row>
    <row r="118" spans="1:26" x14ac:dyDescent="0.25">
      <c r="A118" s="30"/>
      <c r="B118" s="12"/>
      <c r="D118" s="41"/>
      <c r="E118" s="21"/>
      <c r="H118" s="21"/>
      <c r="J118" s="23"/>
      <c r="M11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18" s="38">
        <f>tblDonnées[[#This Row],[MONTANT OPERATION]]+tblDonnées[[#This Row],[POS  FUSIONNEE CPTE AVANT OP]]</f>
        <v>0</v>
      </c>
      <c r="O118" s="17" t="str">
        <f>IF(ISBLANK(tblDonnées[[#This Row],[MONTANT AUTO]]), "N/A", ABS(tblDonnées[[#This Row],[POS  FUSIONNEE CPTE APRES OP]])-ABS(tblDonnées[[#This Row],[MONTANT AUTO]]))</f>
        <v>N/A</v>
      </c>
      <c r="P118" s="39" t="e">
        <f>tblDonnées[[#This Row],[DEPASSEMENT TOTAL SUR AUTO
]]/-tblDonnées[[#This Row],[MONTANT AUTO]]</f>
        <v>#VALUE!</v>
      </c>
      <c r="T118" s="17">
        <f>IF(tblDonnées[[#This Row],[0,5% du dép]]&lt;5000,5000,IF(tblDonnées[[#This Row],[0,5% du dép]]&gt;50000,50000,tblDonnées[[#This Row],[0,5% du dép]]))</f>
        <v>5000</v>
      </c>
      <c r="U118" s="10">
        <f>ABS(tblDonnées[[#This Row],[MONTANT DEPASSEMENT]]*0.005)</f>
        <v>0</v>
      </c>
      <c r="Z118" s="33"/>
    </row>
    <row r="119" spans="1:26" x14ac:dyDescent="0.25">
      <c r="A119" s="30"/>
      <c r="B119" s="12"/>
      <c r="D119" s="41"/>
      <c r="H119" s="21"/>
      <c r="J119" s="23"/>
      <c r="M11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19" s="38">
        <f>tblDonnées[[#This Row],[MONTANT OPERATION]]+tblDonnées[[#This Row],[POS  FUSIONNEE CPTE AVANT OP]]</f>
        <v>0</v>
      </c>
      <c r="O119" s="17" t="str">
        <f>IF(ISBLANK(tblDonnées[[#This Row],[MONTANT AUTO]]), "N/A", ABS(tblDonnées[[#This Row],[POS  FUSIONNEE CPTE APRES OP]])-ABS(tblDonnées[[#This Row],[MONTANT AUTO]]))</f>
        <v>N/A</v>
      </c>
      <c r="P119" s="39" t="e">
        <f>tblDonnées[[#This Row],[DEPASSEMENT TOTAL SUR AUTO
]]/-tblDonnées[[#This Row],[MONTANT AUTO]]</f>
        <v>#VALUE!</v>
      </c>
      <c r="T119" s="17">
        <f>IF(tblDonnées[[#This Row],[0,5% du dép]]&lt;5000,5000,IF(tblDonnées[[#This Row],[0,5% du dép]]&gt;50000,50000,tblDonnées[[#This Row],[0,5% du dép]]))</f>
        <v>5000</v>
      </c>
      <c r="U119" s="10">
        <f>ABS(tblDonnées[[#This Row],[MONTANT DEPASSEMENT]]*0.005)</f>
        <v>0</v>
      </c>
      <c r="Z119" s="33"/>
    </row>
    <row r="120" spans="1:26" x14ac:dyDescent="0.25">
      <c r="A120" s="30"/>
      <c r="B120" s="12"/>
      <c r="D120" s="41"/>
      <c r="H120" s="21"/>
      <c r="J120" s="23"/>
      <c r="M12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20" s="38">
        <f>tblDonnées[[#This Row],[MONTANT OPERATION]]+tblDonnées[[#This Row],[POS  FUSIONNEE CPTE AVANT OP]]</f>
        <v>0</v>
      </c>
      <c r="O120" s="17" t="str">
        <f>IF(ISBLANK(tblDonnées[[#This Row],[MONTANT AUTO]]), "N/A", ABS(tblDonnées[[#This Row],[POS  FUSIONNEE CPTE APRES OP]])-ABS(tblDonnées[[#This Row],[MONTANT AUTO]]))</f>
        <v>N/A</v>
      </c>
      <c r="P120" s="39" t="e">
        <f>tblDonnées[[#This Row],[DEPASSEMENT TOTAL SUR AUTO
]]/-tblDonnées[[#This Row],[MONTANT AUTO]]</f>
        <v>#VALUE!</v>
      </c>
      <c r="T120" s="17">
        <f>IF(tblDonnées[[#This Row],[0,5% du dép]]&lt;5000,5000,IF(tblDonnées[[#This Row],[0,5% du dép]]&gt;50000,50000,tblDonnées[[#This Row],[0,5% du dép]]))</f>
        <v>5000</v>
      </c>
      <c r="U120" s="10">
        <f>ABS(tblDonnées[[#This Row],[MONTANT DEPASSEMENT]]*0.005)</f>
        <v>0</v>
      </c>
      <c r="Z120" s="33"/>
    </row>
    <row r="121" spans="1:26" x14ac:dyDescent="0.25">
      <c r="A121" s="30"/>
      <c r="B121" s="12"/>
      <c r="D121" s="41"/>
      <c r="E121" s="21"/>
      <c r="H121" s="21"/>
      <c r="J121" s="23"/>
      <c r="M12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21" s="38">
        <f>tblDonnées[[#This Row],[MONTANT OPERATION]]+tblDonnées[[#This Row],[POS  FUSIONNEE CPTE AVANT OP]]</f>
        <v>0</v>
      </c>
      <c r="O121" s="17" t="str">
        <f>IF(ISBLANK(tblDonnées[[#This Row],[MONTANT AUTO]]), "N/A", ABS(tblDonnées[[#This Row],[POS  FUSIONNEE CPTE APRES OP]])-ABS(tblDonnées[[#This Row],[MONTANT AUTO]]))</f>
        <v>N/A</v>
      </c>
      <c r="P121" s="39" t="e">
        <f>tblDonnées[[#This Row],[DEPASSEMENT TOTAL SUR AUTO
]]/-tblDonnées[[#This Row],[MONTANT AUTO]]</f>
        <v>#VALUE!</v>
      </c>
      <c r="T121" s="17">
        <f>IF(tblDonnées[[#This Row],[0,5% du dép]]&lt;5000,5000,IF(tblDonnées[[#This Row],[0,5% du dép]]&gt;50000,50000,tblDonnées[[#This Row],[0,5% du dép]]))</f>
        <v>5000</v>
      </c>
      <c r="U121" s="10">
        <f>ABS(tblDonnées[[#This Row],[MONTANT DEPASSEMENT]]*0.005)</f>
        <v>0</v>
      </c>
      <c r="Z121" s="33"/>
    </row>
    <row r="122" spans="1:26" x14ac:dyDescent="0.25">
      <c r="A122" s="30"/>
      <c r="B122" s="12"/>
      <c r="D122" s="41"/>
      <c r="E122" s="21"/>
      <c r="H122" s="21"/>
      <c r="J122" s="23"/>
      <c r="M12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22" s="38">
        <f>tblDonnées[[#This Row],[MONTANT OPERATION]]+tblDonnées[[#This Row],[POS  FUSIONNEE CPTE AVANT OP]]</f>
        <v>0</v>
      </c>
      <c r="O122" s="17" t="str">
        <f>IF(ISBLANK(tblDonnées[[#This Row],[MONTANT AUTO]]), "N/A", ABS(tblDonnées[[#This Row],[POS  FUSIONNEE CPTE APRES OP]])-ABS(tblDonnées[[#This Row],[MONTANT AUTO]]))</f>
        <v>N/A</v>
      </c>
      <c r="P122" s="39" t="e">
        <f>tblDonnées[[#This Row],[DEPASSEMENT TOTAL SUR AUTO
]]/-tblDonnées[[#This Row],[MONTANT AUTO]]</f>
        <v>#VALUE!</v>
      </c>
      <c r="T122" s="17">
        <f>IF(tblDonnées[[#This Row],[0,5% du dép]]&lt;5000,5000,IF(tblDonnées[[#This Row],[0,5% du dép]]&gt;50000,50000,tblDonnées[[#This Row],[0,5% du dép]]))</f>
        <v>5000</v>
      </c>
      <c r="U122" s="10">
        <f>ABS(tblDonnées[[#This Row],[MONTANT DEPASSEMENT]]*0.005)</f>
        <v>0</v>
      </c>
      <c r="Z122" s="33"/>
    </row>
    <row r="123" spans="1:26" x14ac:dyDescent="0.25">
      <c r="A123" s="30"/>
      <c r="B123" s="12"/>
      <c r="D123" s="41"/>
      <c r="H123" s="21"/>
      <c r="J123" s="23"/>
      <c r="M12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23" s="38">
        <f>tblDonnées[[#This Row],[MONTANT OPERATION]]+tblDonnées[[#This Row],[POS  FUSIONNEE CPTE AVANT OP]]</f>
        <v>0</v>
      </c>
      <c r="O123" s="17" t="str">
        <f>IF(ISBLANK(tblDonnées[[#This Row],[MONTANT AUTO]]), "N/A", ABS(tblDonnées[[#This Row],[POS  FUSIONNEE CPTE APRES OP]])-ABS(tblDonnées[[#This Row],[MONTANT AUTO]]))</f>
        <v>N/A</v>
      </c>
      <c r="P123" s="39" t="e">
        <f>tblDonnées[[#This Row],[DEPASSEMENT TOTAL SUR AUTO
]]/-tblDonnées[[#This Row],[MONTANT AUTO]]</f>
        <v>#VALUE!</v>
      </c>
      <c r="T123" s="17">
        <f>IF(tblDonnées[[#This Row],[0,5% du dép]]&lt;5000,5000,IF(tblDonnées[[#This Row],[0,5% du dép]]&gt;50000,50000,tblDonnées[[#This Row],[0,5% du dép]]))</f>
        <v>5000</v>
      </c>
      <c r="U123" s="10">
        <f>ABS(tblDonnées[[#This Row],[MONTANT DEPASSEMENT]]*0.005)</f>
        <v>0</v>
      </c>
      <c r="Z123" s="33"/>
    </row>
    <row r="124" spans="1:26" x14ac:dyDescent="0.25">
      <c r="A124" s="30"/>
      <c r="B124" s="12"/>
      <c r="D124" s="41"/>
      <c r="H124" s="21"/>
      <c r="J124" s="23"/>
      <c r="M12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24" s="38">
        <f>tblDonnées[[#This Row],[MONTANT OPERATION]]+tblDonnées[[#This Row],[POS  FUSIONNEE CPTE AVANT OP]]</f>
        <v>0</v>
      </c>
      <c r="O124" s="17" t="str">
        <f>IF(ISBLANK(tblDonnées[[#This Row],[MONTANT AUTO]]), "N/A", ABS(tblDonnées[[#This Row],[POS  FUSIONNEE CPTE APRES OP]])-ABS(tblDonnées[[#This Row],[MONTANT AUTO]]))</f>
        <v>N/A</v>
      </c>
      <c r="P124" s="39" t="e">
        <f>tblDonnées[[#This Row],[DEPASSEMENT TOTAL SUR AUTO
]]/-tblDonnées[[#This Row],[MONTANT AUTO]]</f>
        <v>#VALUE!</v>
      </c>
      <c r="T124" s="17">
        <f>IF(tblDonnées[[#This Row],[0,5% du dép]]&lt;5000,5000,IF(tblDonnées[[#This Row],[0,5% du dép]]&gt;50000,50000,tblDonnées[[#This Row],[0,5% du dép]]))</f>
        <v>5000</v>
      </c>
      <c r="U124" s="10">
        <f>ABS(tblDonnées[[#This Row],[MONTANT DEPASSEMENT]]*0.005)</f>
        <v>0</v>
      </c>
      <c r="Z124" s="33"/>
    </row>
    <row r="125" spans="1:26" x14ac:dyDescent="0.25">
      <c r="A125" s="30"/>
      <c r="B125" s="12"/>
      <c r="D125" s="41"/>
      <c r="H125" s="21"/>
      <c r="J125" s="23"/>
      <c r="M12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25" s="38">
        <f>tblDonnées[[#This Row],[MONTANT OPERATION]]+tblDonnées[[#This Row],[POS  FUSIONNEE CPTE AVANT OP]]</f>
        <v>0</v>
      </c>
      <c r="O125" s="17" t="str">
        <f>IF(ISBLANK(tblDonnées[[#This Row],[MONTANT AUTO]]), "N/A", ABS(tblDonnées[[#This Row],[POS  FUSIONNEE CPTE APRES OP]])-ABS(tblDonnées[[#This Row],[MONTANT AUTO]]))</f>
        <v>N/A</v>
      </c>
      <c r="P125" s="39" t="e">
        <f>tblDonnées[[#This Row],[DEPASSEMENT TOTAL SUR AUTO
]]/-tblDonnées[[#This Row],[MONTANT AUTO]]</f>
        <v>#VALUE!</v>
      </c>
      <c r="T125" s="17">
        <f>IF(tblDonnées[[#This Row],[0,5% du dép]]&lt;5000,5000,IF(tblDonnées[[#This Row],[0,5% du dép]]&gt;50000,50000,tblDonnées[[#This Row],[0,5% du dép]]))</f>
        <v>5000</v>
      </c>
      <c r="U125" s="10">
        <f>ABS(tblDonnées[[#This Row],[MONTANT DEPASSEMENT]]*0.005)</f>
        <v>0</v>
      </c>
      <c r="Z125" s="33"/>
    </row>
    <row r="126" spans="1:26" x14ac:dyDescent="0.25">
      <c r="A126" s="30"/>
      <c r="B126" s="12"/>
      <c r="D126" s="41"/>
      <c r="H126" s="21"/>
      <c r="J126" s="23"/>
      <c r="M12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26" s="38">
        <f>tblDonnées[[#This Row],[MONTANT OPERATION]]+tblDonnées[[#This Row],[POS  FUSIONNEE CPTE AVANT OP]]</f>
        <v>0</v>
      </c>
      <c r="O126" s="17" t="str">
        <f>IF(ISBLANK(tblDonnées[[#This Row],[MONTANT AUTO]]), "N/A", ABS(tblDonnées[[#This Row],[POS  FUSIONNEE CPTE APRES OP]])-ABS(tblDonnées[[#This Row],[MONTANT AUTO]]))</f>
        <v>N/A</v>
      </c>
      <c r="P126" s="39" t="e">
        <f>tblDonnées[[#This Row],[DEPASSEMENT TOTAL SUR AUTO
]]/-tblDonnées[[#This Row],[MONTANT AUTO]]</f>
        <v>#VALUE!</v>
      </c>
      <c r="T126" s="17">
        <f>IF(tblDonnées[[#This Row],[0,5% du dép]]&lt;5000,5000,IF(tblDonnées[[#This Row],[0,5% du dép]]&gt;50000,50000,tblDonnées[[#This Row],[0,5% du dép]]))</f>
        <v>5000</v>
      </c>
      <c r="U126" s="10">
        <f>ABS(tblDonnées[[#This Row],[MONTANT DEPASSEMENT]]*0.005)</f>
        <v>0</v>
      </c>
      <c r="Z126" s="33"/>
    </row>
    <row r="127" spans="1:26" x14ac:dyDescent="0.25">
      <c r="A127" s="30"/>
      <c r="B127" s="12"/>
      <c r="D127" s="41"/>
      <c r="H127" s="21"/>
      <c r="J127" s="23"/>
      <c r="M12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27" s="38">
        <f>tblDonnées[[#This Row],[MONTANT OPERATION]]+tblDonnées[[#This Row],[POS  FUSIONNEE CPTE AVANT OP]]</f>
        <v>0</v>
      </c>
      <c r="O127" s="17" t="str">
        <f>IF(ISBLANK(tblDonnées[[#This Row],[MONTANT AUTO]]), "N/A", ABS(tblDonnées[[#This Row],[POS  FUSIONNEE CPTE APRES OP]])-ABS(tblDonnées[[#This Row],[MONTANT AUTO]]))</f>
        <v>N/A</v>
      </c>
      <c r="P127" s="39" t="e">
        <f>tblDonnées[[#This Row],[DEPASSEMENT TOTAL SUR AUTO
]]/-tblDonnées[[#This Row],[MONTANT AUTO]]</f>
        <v>#VALUE!</v>
      </c>
      <c r="T127" s="17">
        <f>IF(tblDonnées[[#This Row],[0,5% du dép]]&lt;5000,5000,IF(tblDonnées[[#This Row],[0,5% du dép]]&gt;50000,50000,tblDonnées[[#This Row],[0,5% du dép]]))</f>
        <v>5000</v>
      </c>
      <c r="U127" s="10">
        <f>ABS(tblDonnées[[#This Row],[MONTANT DEPASSEMENT]]*0.005)</f>
        <v>0</v>
      </c>
      <c r="Z127" s="33"/>
    </row>
    <row r="128" spans="1:26" x14ac:dyDescent="0.25">
      <c r="A128" s="30"/>
      <c r="B128" s="12"/>
      <c r="D128" s="41"/>
      <c r="H128" s="21"/>
      <c r="J128" s="23"/>
      <c r="M12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28" s="38">
        <f>tblDonnées[[#This Row],[MONTANT OPERATION]]+tblDonnées[[#This Row],[POS  FUSIONNEE CPTE AVANT OP]]</f>
        <v>0</v>
      </c>
      <c r="O128" s="17" t="str">
        <f>IF(ISBLANK(tblDonnées[[#This Row],[MONTANT AUTO]]), "N/A", ABS(tblDonnées[[#This Row],[POS  FUSIONNEE CPTE APRES OP]])-ABS(tblDonnées[[#This Row],[MONTANT AUTO]]))</f>
        <v>N/A</v>
      </c>
      <c r="P128" s="39" t="e">
        <f>tblDonnées[[#This Row],[DEPASSEMENT TOTAL SUR AUTO
]]/-tblDonnées[[#This Row],[MONTANT AUTO]]</f>
        <v>#VALUE!</v>
      </c>
      <c r="T128" s="17">
        <f>IF(tblDonnées[[#This Row],[0,5% du dép]]&lt;5000,5000,IF(tblDonnées[[#This Row],[0,5% du dép]]&gt;50000,50000,tblDonnées[[#This Row],[0,5% du dép]]))</f>
        <v>5000</v>
      </c>
      <c r="U128" s="10">
        <f>ABS(tblDonnées[[#This Row],[MONTANT DEPASSEMENT]]*0.005)</f>
        <v>0</v>
      </c>
      <c r="Z128" s="33"/>
    </row>
    <row r="129" spans="1:26" x14ac:dyDescent="0.25">
      <c r="A129" s="30"/>
      <c r="B129" s="12"/>
      <c r="D129" s="41"/>
      <c r="H129" s="21"/>
      <c r="J129" s="23"/>
      <c r="M12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29" s="38">
        <f>tblDonnées[[#This Row],[MONTANT OPERATION]]+tblDonnées[[#This Row],[POS  FUSIONNEE CPTE AVANT OP]]</f>
        <v>0</v>
      </c>
      <c r="O129" s="17" t="str">
        <f>IF(ISBLANK(tblDonnées[[#This Row],[MONTANT AUTO]]), "N/A", ABS(tblDonnées[[#This Row],[POS  FUSIONNEE CPTE APRES OP]])-ABS(tblDonnées[[#This Row],[MONTANT AUTO]]))</f>
        <v>N/A</v>
      </c>
      <c r="P129" s="39" t="e">
        <f>tblDonnées[[#This Row],[DEPASSEMENT TOTAL SUR AUTO
]]/-tblDonnées[[#This Row],[MONTANT AUTO]]</f>
        <v>#VALUE!</v>
      </c>
      <c r="T129" s="17">
        <f>IF(tblDonnées[[#This Row],[0,5% du dép]]&lt;5000,5000,IF(tblDonnées[[#This Row],[0,5% du dép]]&gt;50000,50000,tblDonnées[[#This Row],[0,5% du dép]]))</f>
        <v>5000</v>
      </c>
      <c r="U129" s="10">
        <f>ABS(tblDonnées[[#This Row],[MONTANT DEPASSEMENT]]*0.005)</f>
        <v>0</v>
      </c>
      <c r="Z129" s="33"/>
    </row>
    <row r="130" spans="1:26" x14ac:dyDescent="0.25">
      <c r="A130" s="30"/>
      <c r="B130" s="12"/>
      <c r="D130" s="41"/>
      <c r="H130" s="21"/>
      <c r="J130" s="23"/>
      <c r="M13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30" s="38">
        <f>tblDonnées[[#This Row],[MONTANT OPERATION]]+tblDonnées[[#This Row],[POS  FUSIONNEE CPTE AVANT OP]]</f>
        <v>0</v>
      </c>
      <c r="O130" s="17" t="str">
        <f>IF(ISBLANK(tblDonnées[[#This Row],[MONTANT AUTO]]), "N/A", ABS(tblDonnées[[#This Row],[POS  FUSIONNEE CPTE APRES OP]])-ABS(tblDonnées[[#This Row],[MONTANT AUTO]]))</f>
        <v>N/A</v>
      </c>
      <c r="P130" s="39" t="e">
        <f>tblDonnées[[#This Row],[DEPASSEMENT TOTAL SUR AUTO
]]/-tblDonnées[[#This Row],[MONTANT AUTO]]</f>
        <v>#VALUE!</v>
      </c>
      <c r="T130" s="17">
        <f>IF(tblDonnées[[#This Row],[0,5% du dép]]&lt;5000,5000,IF(tblDonnées[[#This Row],[0,5% du dép]]&gt;50000,50000,tblDonnées[[#This Row],[0,5% du dép]]))</f>
        <v>5000</v>
      </c>
      <c r="U130" s="10">
        <f>ABS(tblDonnées[[#This Row],[MONTANT DEPASSEMENT]]*0.005)</f>
        <v>0</v>
      </c>
      <c r="Z130" s="33"/>
    </row>
    <row r="131" spans="1:26" x14ac:dyDescent="0.25">
      <c r="A131" s="30"/>
      <c r="B131" s="12"/>
      <c r="D131" s="41"/>
      <c r="H131" s="21"/>
      <c r="J131" s="23"/>
      <c r="M13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31" s="38">
        <f>tblDonnées[[#This Row],[MONTANT OPERATION]]+tblDonnées[[#This Row],[POS  FUSIONNEE CPTE AVANT OP]]</f>
        <v>0</v>
      </c>
      <c r="O131" s="17" t="str">
        <f>IF(ISBLANK(tblDonnées[[#This Row],[MONTANT AUTO]]), "N/A", ABS(tblDonnées[[#This Row],[POS  FUSIONNEE CPTE APRES OP]])-ABS(tblDonnées[[#This Row],[MONTANT AUTO]]))</f>
        <v>N/A</v>
      </c>
      <c r="P131" s="39" t="e">
        <f>tblDonnées[[#This Row],[DEPASSEMENT TOTAL SUR AUTO
]]/-tblDonnées[[#This Row],[MONTANT AUTO]]</f>
        <v>#VALUE!</v>
      </c>
      <c r="T131" s="17">
        <f>IF(tblDonnées[[#This Row],[0,5% du dép]]&lt;5000,5000,IF(tblDonnées[[#This Row],[0,5% du dép]]&gt;50000,50000,tblDonnées[[#This Row],[0,5% du dép]]))</f>
        <v>5000</v>
      </c>
      <c r="U131" s="10">
        <f>ABS(tblDonnées[[#This Row],[MONTANT DEPASSEMENT]]*0.005)</f>
        <v>0</v>
      </c>
      <c r="Z131" s="33"/>
    </row>
    <row r="132" spans="1:26" x14ac:dyDescent="0.25">
      <c r="A132" s="30"/>
      <c r="B132" s="12"/>
      <c r="D132" s="41"/>
      <c r="H132" s="21"/>
      <c r="J132" s="23"/>
      <c r="M13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32" s="38">
        <f>tblDonnées[[#This Row],[MONTANT OPERATION]]+tblDonnées[[#This Row],[POS  FUSIONNEE CPTE AVANT OP]]</f>
        <v>0</v>
      </c>
      <c r="O132" s="17" t="str">
        <f>IF(ISBLANK(tblDonnées[[#This Row],[MONTANT AUTO]]), "N/A", ABS(tblDonnées[[#This Row],[POS  FUSIONNEE CPTE APRES OP]])-ABS(tblDonnées[[#This Row],[MONTANT AUTO]]))</f>
        <v>N/A</v>
      </c>
      <c r="P132" s="39" t="e">
        <f>tblDonnées[[#This Row],[DEPASSEMENT TOTAL SUR AUTO
]]/-tblDonnées[[#This Row],[MONTANT AUTO]]</f>
        <v>#VALUE!</v>
      </c>
      <c r="T132" s="17">
        <f>IF(tblDonnées[[#This Row],[0,5% du dép]]&lt;5000,5000,IF(tblDonnées[[#This Row],[0,5% du dép]]&gt;50000,50000,tblDonnées[[#This Row],[0,5% du dép]]))</f>
        <v>5000</v>
      </c>
      <c r="U132" s="10">
        <f>ABS(tblDonnées[[#This Row],[MONTANT DEPASSEMENT]]*0.005)</f>
        <v>0</v>
      </c>
      <c r="Z132" s="33"/>
    </row>
    <row r="133" spans="1:26" x14ac:dyDescent="0.25">
      <c r="A133" s="30"/>
      <c r="B133" s="12"/>
      <c r="D133" s="41"/>
      <c r="H133" s="21"/>
      <c r="J133" s="23"/>
      <c r="M13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33" s="38">
        <f>tblDonnées[[#This Row],[MONTANT OPERATION]]+tblDonnées[[#This Row],[POS  FUSIONNEE CPTE AVANT OP]]</f>
        <v>0</v>
      </c>
      <c r="O133" s="17" t="str">
        <f>IF(ISBLANK(tblDonnées[[#This Row],[MONTANT AUTO]]), "N/A", ABS(tblDonnées[[#This Row],[POS  FUSIONNEE CPTE APRES OP]])-ABS(tblDonnées[[#This Row],[MONTANT AUTO]]))</f>
        <v>N/A</v>
      </c>
      <c r="P133" s="39" t="e">
        <f>tblDonnées[[#This Row],[DEPASSEMENT TOTAL SUR AUTO
]]/-tblDonnées[[#This Row],[MONTANT AUTO]]</f>
        <v>#VALUE!</v>
      </c>
      <c r="T133" s="17">
        <f>IF(tblDonnées[[#This Row],[0,5% du dép]]&lt;5000,5000,IF(tblDonnées[[#This Row],[0,5% du dép]]&gt;50000,50000,tblDonnées[[#This Row],[0,5% du dép]]))</f>
        <v>5000</v>
      </c>
      <c r="U133" s="10">
        <f>ABS(tblDonnées[[#This Row],[MONTANT DEPASSEMENT]]*0.005)</f>
        <v>0</v>
      </c>
      <c r="Z133" s="33"/>
    </row>
    <row r="134" spans="1:26" x14ac:dyDescent="0.25">
      <c r="A134" s="30"/>
      <c r="B134" s="12"/>
      <c r="D134" s="41"/>
      <c r="H134" s="21"/>
      <c r="J134" s="23"/>
      <c r="M13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34" s="38">
        <f>tblDonnées[[#This Row],[MONTANT OPERATION]]+tblDonnées[[#This Row],[POS  FUSIONNEE CPTE AVANT OP]]</f>
        <v>0</v>
      </c>
      <c r="O134" s="17" t="str">
        <f>IF(ISBLANK(tblDonnées[[#This Row],[MONTANT AUTO]]), "N/A", ABS(tblDonnées[[#This Row],[POS  FUSIONNEE CPTE APRES OP]])-ABS(tblDonnées[[#This Row],[MONTANT AUTO]]))</f>
        <v>N/A</v>
      </c>
      <c r="P134" s="39" t="e">
        <f>tblDonnées[[#This Row],[DEPASSEMENT TOTAL SUR AUTO
]]/-tblDonnées[[#This Row],[MONTANT AUTO]]</f>
        <v>#VALUE!</v>
      </c>
      <c r="T134" s="17">
        <f>IF(tblDonnées[[#This Row],[0,5% du dép]]&lt;5000,5000,IF(tblDonnées[[#This Row],[0,5% du dép]]&gt;50000,50000,tblDonnées[[#This Row],[0,5% du dép]]))</f>
        <v>5000</v>
      </c>
      <c r="U134" s="10">
        <f>ABS(tblDonnées[[#This Row],[MONTANT DEPASSEMENT]]*0.005)</f>
        <v>0</v>
      </c>
      <c r="Z134" s="33"/>
    </row>
    <row r="135" spans="1:26" x14ac:dyDescent="0.25">
      <c r="A135" s="30"/>
      <c r="B135" s="12"/>
      <c r="D135" s="41"/>
      <c r="H135" s="21"/>
      <c r="J135" s="23"/>
      <c r="M13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35" s="38">
        <f>tblDonnées[[#This Row],[MONTANT OPERATION]]+tblDonnées[[#This Row],[POS  FUSIONNEE CPTE AVANT OP]]</f>
        <v>0</v>
      </c>
      <c r="O135" s="17" t="str">
        <f>IF(ISBLANK(tblDonnées[[#This Row],[MONTANT AUTO]]), "N/A", ABS(tblDonnées[[#This Row],[POS  FUSIONNEE CPTE APRES OP]])-ABS(tblDonnées[[#This Row],[MONTANT AUTO]]))</f>
        <v>N/A</v>
      </c>
      <c r="P135" s="39" t="e">
        <f>tblDonnées[[#This Row],[DEPASSEMENT TOTAL SUR AUTO
]]/-tblDonnées[[#This Row],[MONTANT AUTO]]</f>
        <v>#VALUE!</v>
      </c>
      <c r="T135" s="17">
        <f>IF(tblDonnées[[#This Row],[0,5% du dép]]&lt;5000,5000,IF(tblDonnées[[#This Row],[0,5% du dép]]&gt;50000,50000,tblDonnées[[#This Row],[0,5% du dép]]))</f>
        <v>5000</v>
      </c>
      <c r="U135" s="10">
        <f>ABS(tblDonnées[[#This Row],[MONTANT DEPASSEMENT]]*0.005)</f>
        <v>0</v>
      </c>
      <c r="Z135" s="33"/>
    </row>
    <row r="136" spans="1:26" x14ac:dyDescent="0.25">
      <c r="A136" s="30"/>
      <c r="B136" s="12"/>
      <c r="D136" s="41"/>
      <c r="H136" s="21"/>
      <c r="J136" s="23"/>
      <c r="M13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36" s="38">
        <f>tblDonnées[[#This Row],[MONTANT OPERATION]]+tblDonnées[[#This Row],[POS  FUSIONNEE CPTE AVANT OP]]</f>
        <v>0</v>
      </c>
      <c r="O136" s="17" t="str">
        <f>IF(ISBLANK(tblDonnées[[#This Row],[MONTANT AUTO]]), "N/A", ABS(tblDonnées[[#This Row],[POS  FUSIONNEE CPTE APRES OP]])-ABS(tblDonnées[[#This Row],[MONTANT AUTO]]))</f>
        <v>N/A</v>
      </c>
      <c r="P136" s="39" t="e">
        <f>tblDonnées[[#This Row],[DEPASSEMENT TOTAL SUR AUTO
]]/-tblDonnées[[#This Row],[MONTANT AUTO]]</f>
        <v>#VALUE!</v>
      </c>
      <c r="T136" s="17">
        <f>IF(tblDonnées[[#This Row],[0,5% du dép]]&lt;5000,5000,IF(tblDonnées[[#This Row],[0,5% du dép]]&gt;50000,50000,tblDonnées[[#This Row],[0,5% du dép]]))</f>
        <v>5000</v>
      </c>
      <c r="U136" s="10">
        <f>ABS(tblDonnées[[#This Row],[MONTANT DEPASSEMENT]]*0.005)</f>
        <v>0</v>
      </c>
      <c r="Z136" s="33"/>
    </row>
    <row r="137" spans="1:26" x14ac:dyDescent="0.25">
      <c r="A137" s="30"/>
      <c r="B137" s="12"/>
      <c r="D137" s="41"/>
      <c r="H137" s="21"/>
      <c r="J137" s="23"/>
      <c r="M13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37" s="38">
        <f>tblDonnées[[#This Row],[MONTANT OPERATION]]+tblDonnées[[#This Row],[POS  FUSIONNEE CPTE AVANT OP]]</f>
        <v>0</v>
      </c>
      <c r="O137" s="17" t="str">
        <f>IF(ISBLANK(tblDonnées[[#This Row],[MONTANT AUTO]]), "N/A", ABS(tblDonnées[[#This Row],[POS  FUSIONNEE CPTE APRES OP]])-ABS(tblDonnées[[#This Row],[MONTANT AUTO]]))</f>
        <v>N/A</v>
      </c>
      <c r="P137" s="39" t="e">
        <f>tblDonnées[[#This Row],[DEPASSEMENT TOTAL SUR AUTO
]]/-tblDonnées[[#This Row],[MONTANT AUTO]]</f>
        <v>#VALUE!</v>
      </c>
      <c r="T137" s="17">
        <f>IF(tblDonnées[[#This Row],[0,5% du dép]]&lt;5000,5000,IF(tblDonnées[[#This Row],[0,5% du dép]]&gt;50000,50000,tblDonnées[[#This Row],[0,5% du dép]]))</f>
        <v>5000</v>
      </c>
      <c r="U137" s="10">
        <f>ABS(tblDonnées[[#This Row],[MONTANT DEPASSEMENT]]*0.005)</f>
        <v>0</v>
      </c>
      <c r="Z137" s="33"/>
    </row>
    <row r="138" spans="1:26" x14ac:dyDescent="0.25">
      <c r="A138" s="30"/>
      <c r="B138" s="12"/>
      <c r="D138" s="41"/>
      <c r="H138" s="21"/>
      <c r="J138" s="23"/>
      <c r="M13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38" s="38">
        <f>tblDonnées[[#This Row],[MONTANT OPERATION]]+tblDonnées[[#This Row],[POS  FUSIONNEE CPTE AVANT OP]]</f>
        <v>0</v>
      </c>
      <c r="O138" s="17" t="str">
        <f>IF(ISBLANK(tblDonnées[[#This Row],[MONTANT AUTO]]), "N/A", ABS(tblDonnées[[#This Row],[POS  FUSIONNEE CPTE APRES OP]])-ABS(tblDonnées[[#This Row],[MONTANT AUTO]]))</f>
        <v>N/A</v>
      </c>
      <c r="P138" s="39" t="e">
        <f>tblDonnées[[#This Row],[DEPASSEMENT TOTAL SUR AUTO
]]/-tblDonnées[[#This Row],[MONTANT AUTO]]</f>
        <v>#VALUE!</v>
      </c>
      <c r="T138" s="17">
        <f>IF(tblDonnées[[#This Row],[0,5% du dép]]&lt;5000,5000,IF(tblDonnées[[#This Row],[0,5% du dép]]&gt;50000,50000,tblDonnées[[#This Row],[0,5% du dép]]))</f>
        <v>5000</v>
      </c>
      <c r="U138" s="10">
        <f>ABS(tblDonnées[[#This Row],[MONTANT DEPASSEMENT]]*0.005)</f>
        <v>0</v>
      </c>
      <c r="Z138" s="33"/>
    </row>
    <row r="139" spans="1:26" x14ac:dyDescent="0.25">
      <c r="A139" s="30"/>
      <c r="B139" s="12"/>
      <c r="D139" s="41"/>
      <c r="H139" s="21"/>
      <c r="J139" s="23"/>
      <c r="M13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39" s="38">
        <f>tblDonnées[[#This Row],[MONTANT OPERATION]]+tblDonnées[[#This Row],[POS  FUSIONNEE CPTE AVANT OP]]</f>
        <v>0</v>
      </c>
      <c r="O139" s="17" t="str">
        <f>IF(ISBLANK(tblDonnées[[#This Row],[MONTANT AUTO]]), "N/A", ABS(tblDonnées[[#This Row],[POS  FUSIONNEE CPTE APRES OP]])-ABS(tblDonnées[[#This Row],[MONTANT AUTO]]))</f>
        <v>N/A</v>
      </c>
      <c r="P139" s="39" t="e">
        <f>tblDonnées[[#This Row],[DEPASSEMENT TOTAL SUR AUTO
]]/-tblDonnées[[#This Row],[MONTANT AUTO]]</f>
        <v>#VALUE!</v>
      </c>
      <c r="T139" s="17">
        <f>IF(tblDonnées[[#This Row],[0,5% du dép]]&lt;5000,5000,IF(tblDonnées[[#This Row],[0,5% du dép]]&gt;50000,50000,tblDonnées[[#This Row],[0,5% du dép]]))</f>
        <v>5000</v>
      </c>
      <c r="U139" s="10">
        <f>ABS(tblDonnées[[#This Row],[MONTANT DEPASSEMENT]]*0.005)</f>
        <v>0</v>
      </c>
      <c r="Z139" s="33"/>
    </row>
    <row r="140" spans="1:26" x14ac:dyDescent="0.25">
      <c r="A140" s="30"/>
      <c r="B140" s="12"/>
      <c r="D140" s="41"/>
      <c r="H140" s="21"/>
      <c r="J140" s="23"/>
      <c r="M14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40" s="38">
        <f>tblDonnées[[#This Row],[MONTANT OPERATION]]+tblDonnées[[#This Row],[POS  FUSIONNEE CPTE AVANT OP]]</f>
        <v>0</v>
      </c>
      <c r="O140" s="17" t="str">
        <f>IF(ISBLANK(tblDonnées[[#This Row],[MONTANT AUTO]]), "N/A", ABS(tblDonnées[[#This Row],[POS  FUSIONNEE CPTE APRES OP]])-ABS(tblDonnées[[#This Row],[MONTANT AUTO]]))</f>
        <v>N/A</v>
      </c>
      <c r="P140" s="39" t="e">
        <f>tblDonnées[[#This Row],[DEPASSEMENT TOTAL SUR AUTO
]]/-tblDonnées[[#This Row],[MONTANT AUTO]]</f>
        <v>#VALUE!</v>
      </c>
      <c r="T140" s="17">
        <f>IF(tblDonnées[[#This Row],[0,5% du dép]]&lt;5000,5000,IF(tblDonnées[[#This Row],[0,5% du dép]]&gt;50000,50000,tblDonnées[[#This Row],[0,5% du dép]]))</f>
        <v>5000</v>
      </c>
      <c r="U140" s="10">
        <f>ABS(tblDonnées[[#This Row],[MONTANT DEPASSEMENT]]*0.005)</f>
        <v>0</v>
      </c>
      <c r="Z140" s="33"/>
    </row>
    <row r="141" spans="1:26" x14ac:dyDescent="0.25">
      <c r="A141" s="30"/>
      <c r="B141" s="12"/>
      <c r="D141" s="41"/>
      <c r="H141" s="21"/>
      <c r="J141" s="23"/>
      <c r="M14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41" s="38">
        <f>tblDonnées[[#This Row],[MONTANT OPERATION]]+tblDonnées[[#This Row],[POS  FUSIONNEE CPTE AVANT OP]]</f>
        <v>0</v>
      </c>
      <c r="O141" s="17" t="str">
        <f>IF(ISBLANK(tblDonnées[[#This Row],[MONTANT AUTO]]), "N/A", ABS(tblDonnées[[#This Row],[POS  FUSIONNEE CPTE APRES OP]])-ABS(tblDonnées[[#This Row],[MONTANT AUTO]]))</f>
        <v>N/A</v>
      </c>
      <c r="P141" s="39" t="e">
        <f>tblDonnées[[#This Row],[DEPASSEMENT TOTAL SUR AUTO
]]/-tblDonnées[[#This Row],[MONTANT AUTO]]</f>
        <v>#VALUE!</v>
      </c>
      <c r="T141" s="17">
        <f>IF(tblDonnées[[#This Row],[0,5% du dép]]&lt;5000,5000,IF(tblDonnées[[#This Row],[0,5% du dép]]&gt;50000,50000,tblDonnées[[#This Row],[0,5% du dép]]))</f>
        <v>5000</v>
      </c>
      <c r="U141" s="10">
        <f>ABS(tblDonnées[[#This Row],[MONTANT DEPASSEMENT]]*0.005)</f>
        <v>0</v>
      </c>
      <c r="Z141" s="33"/>
    </row>
    <row r="142" spans="1:26" x14ac:dyDescent="0.25">
      <c r="A142" s="30"/>
      <c r="B142" s="12"/>
      <c r="D142" s="41"/>
      <c r="H142" s="21"/>
      <c r="J142" s="23"/>
      <c r="M14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42" s="38">
        <f>tblDonnées[[#This Row],[MONTANT OPERATION]]+tblDonnées[[#This Row],[POS  FUSIONNEE CPTE AVANT OP]]</f>
        <v>0</v>
      </c>
      <c r="O142" s="17" t="str">
        <f>IF(ISBLANK(tblDonnées[[#This Row],[MONTANT AUTO]]), "N/A", ABS(tblDonnées[[#This Row],[POS  FUSIONNEE CPTE APRES OP]])-ABS(tblDonnées[[#This Row],[MONTANT AUTO]]))</f>
        <v>N/A</v>
      </c>
      <c r="P142" s="39" t="e">
        <f>tblDonnées[[#This Row],[DEPASSEMENT TOTAL SUR AUTO
]]/-tblDonnées[[#This Row],[MONTANT AUTO]]</f>
        <v>#VALUE!</v>
      </c>
      <c r="T142" s="17">
        <f>IF(tblDonnées[[#This Row],[0,5% du dép]]&lt;5000,5000,IF(tblDonnées[[#This Row],[0,5% du dép]]&gt;50000,50000,tblDonnées[[#This Row],[0,5% du dép]]))</f>
        <v>5000</v>
      </c>
      <c r="U142" s="10">
        <f>ABS(tblDonnées[[#This Row],[MONTANT DEPASSEMENT]]*0.005)</f>
        <v>0</v>
      </c>
      <c r="Z142" s="33"/>
    </row>
    <row r="143" spans="1:26" x14ac:dyDescent="0.25">
      <c r="A143" s="30"/>
      <c r="B143" s="12"/>
      <c r="D143" s="41"/>
      <c r="H143" s="21"/>
      <c r="J143" s="23"/>
      <c r="M14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43" s="38">
        <f>tblDonnées[[#This Row],[MONTANT OPERATION]]+tblDonnées[[#This Row],[POS  FUSIONNEE CPTE AVANT OP]]</f>
        <v>0</v>
      </c>
      <c r="O143" s="17" t="str">
        <f>IF(ISBLANK(tblDonnées[[#This Row],[MONTANT AUTO]]), "N/A", ABS(tblDonnées[[#This Row],[POS  FUSIONNEE CPTE APRES OP]])-ABS(tblDonnées[[#This Row],[MONTANT AUTO]]))</f>
        <v>N/A</v>
      </c>
      <c r="P143" s="39" t="e">
        <f>tblDonnées[[#This Row],[DEPASSEMENT TOTAL SUR AUTO
]]/-tblDonnées[[#This Row],[MONTANT AUTO]]</f>
        <v>#VALUE!</v>
      </c>
      <c r="T143" s="17">
        <f>IF(tblDonnées[[#This Row],[0,5% du dép]]&lt;5000,5000,IF(tblDonnées[[#This Row],[0,5% du dép]]&gt;50000,50000,tblDonnées[[#This Row],[0,5% du dép]]))</f>
        <v>5000</v>
      </c>
      <c r="U143" s="10">
        <f>ABS(tblDonnées[[#This Row],[MONTANT DEPASSEMENT]]*0.005)</f>
        <v>0</v>
      </c>
      <c r="Z143" s="33"/>
    </row>
    <row r="144" spans="1:26" x14ac:dyDescent="0.25">
      <c r="A144" s="30"/>
      <c r="B144" s="12"/>
      <c r="D144" s="41"/>
      <c r="H144" s="21"/>
      <c r="J144" s="23"/>
      <c r="M14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44" s="38">
        <f>tblDonnées[[#This Row],[MONTANT OPERATION]]+tblDonnées[[#This Row],[POS  FUSIONNEE CPTE AVANT OP]]</f>
        <v>0</v>
      </c>
      <c r="O144" s="17" t="str">
        <f>IF(ISBLANK(tblDonnées[[#This Row],[MONTANT AUTO]]), "N/A", ABS(tblDonnées[[#This Row],[POS  FUSIONNEE CPTE APRES OP]])-ABS(tblDonnées[[#This Row],[MONTANT AUTO]]))</f>
        <v>N/A</v>
      </c>
      <c r="P144" s="39" t="e">
        <f>tblDonnées[[#This Row],[DEPASSEMENT TOTAL SUR AUTO
]]/-tblDonnées[[#This Row],[MONTANT AUTO]]</f>
        <v>#VALUE!</v>
      </c>
      <c r="T144" s="17">
        <f>IF(tblDonnées[[#This Row],[0,5% du dép]]&lt;5000,5000,IF(tblDonnées[[#This Row],[0,5% du dép]]&gt;50000,50000,tblDonnées[[#This Row],[0,5% du dép]]))</f>
        <v>5000</v>
      </c>
      <c r="U144" s="10">
        <f>ABS(tblDonnées[[#This Row],[MONTANT DEPASSEMENT]]*0.005)</f>
        <v>0</v>
      </c>
      <c r="Z144" s="33"/>
    </row>
    <row r="145" spans="1:26" x14ac:dyDescent="0.25">
      <c r="A145" s="30"/>
      <c r="B145" s="12"/>
      <c r="D145" s="41"/>
      <c r="H145" s="21"/>
      <c r="J145" s="23"/>
      <c r="M14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45" s="38">
        <f>tblDonnées[[#This Row],[MONTANT OPERATION]]+tblDonnées[[#This Row],[POS  FUSIONNEE CPTE AVANT OP]]</f>
        <v>0</v>
      </c>
      <c r="O145" s="17" t="str">
        <f>IF(ISBLANK(tblDonnées[[#This Row],[MONTANT AUTO]]), "N/A", ABS(tblDonnées[[#This Row],[POS  FUSIONNEE CPTE APRES OP]])-ABS(tblDonnées[[#This Row],[MONTANT AUTO]]))</f>
        <v>N/A</v>
      </c>
      <c r="P145" s="39" t="e">
        <f>tblDonnées[[#This Row],[DEPASSEMENT TOTAL SUR AUTO
]]/-tblDonnées[[#This Row],[MONTANT AUTO]]</f>
        <v>#VALUE!</v>
      </c>
      <c r="T145" s="17">
        <f>IF(tblDonnées[[#This Row],[0,5% du dép]]&lt;5000,5000,IF(tblDonnées[[#This Row],[0,5% du dép]]&gt;50000,50000,tblDonnées[[#This Row],[0,5% du dép]]))</f>
        <v>5000</v>
      </c>
      <c r="U145" s="10">
        <f>ABS(tblDonnées[[#This Row],[MONTANT DEPASSEMENT]]*0.005)</f>
        <v>0</v>
      </c>
      <c r="Z145" s="33"/>
    </row>
    <row r="146" spans="1:26" x14ac:dyDescent="0.25">
      <c r="A146" s="30"/>
      <c r="B146" s="12"/>
      <c r="D146" s="41"/>
      <c r="H146" s="21"/>
      <c r="J146" s="23"/>
      <c r="M14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46" s="38">
        <f>tblDonnées[[#This Row],[MONTANT OPERATION]]+tblDonnées[[#This Row],[POS  FUSIONNEE CPTE AVANT OP]]</f>
        <v>0</v>
      </c>
      <c r="O146" s="17" t="str">
        <f>IF(ISBLANK(tblDonnées[[#This Row],[MONTANT AUTO]]), "N/A", ABS(tblDonnées[[#This Row],[POS  FUSIONNEE CPTE APRES OP]])-ABS(tblDonnées[[#This Row],[MONTANT AUTO]]))</f>
        <v>N/A</v>
      </c>
      <c r="P146" s="39" t="e">
        <f>tblDonnées[[#This Row],[DEPASSEMENT TOTAL SUR AUTO
]]/-tblDonnées[[#This Row],[MONTANT AUTO]]</f>
        <v>#VALUE!</v>
      </c>
      <c r="T146" s="17">
        <f>IF(tblDonnées[[#This Row],[0,5% du dép]]&lt;5000,5000,IF(tblDonnées[[#This Row],[0,5% du dép]]&gt;50000,50000,tblDonnées[[#This Row],[0,5% du dép]]))</f>
        <v>5000</v>
      </c>
      <c r="U146" s="10">
        <f>ABS(tblDonnées[[#This Row],[MONTANT DEPASSEMENT]]*0.005)</f>
        <v>0</v>
      </c>
      <c r="Z146" s="33"/>
    </row>
    <row r="147" spans="1:26" x14ac:dyDescent="0.25">
      <c r="A147" s="30"/>
      <c r="B147" s="12"/>
      <c r="D147" s="41"/>
      <c r="H147" s="21"/>
      <c r="J147" s="23"/>
      <c r="M14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47" s="38">
        <f>tblDonnées[[#This Row],[MONTANT OPERATION]]+tblDonnées[[#This Row],[POS  FUSIONNEE CPTE AVANT OP]]</f>
        <v>0</v>
      </c>
      <c r="O147" s="17" t="str">
        <f>IF(ISBLANK(tblDonnées[[#This Row],[MONTANT AUTO]]), "N/A", ABS(tblDonnées[[#This Row],[POS  FUSIONNEE CPTE APRES OP]])-ABS(tblDonnées[[#This Row],[MONTANT AUTO]]))</f>
        <v>N/A</v>
      </c>
      <c r="P147" s="39" t="e">
        <f>tblDonnées[[#This Row],[DEPASSEMENT TOTAL SUR AUTO
]]/-tblDonnées[[#This Row],[MONTANT AUTO]]</f>
        <v>#VALUE!</v>
      </c>
      <c r="T147" s="17">
        <f>IF(tblDonnées[[#This Row],[0,5% du dép]]&lt;5000,5000,IF(tblDonnées[[#This Row],[0,5% du dép]]&gt;50000,50000,tblDonnées[[#This Row],[0,5% du dép]]))</f>
        <v>5000</v>
      </c>
      <c r="U147" s="10">
        <f>ABS(tblDonnées[[#This Row],[MONTANT DEPASSEMENT]]*0.005)</f>
        <v>0</v>
      </c>
      <c r="Z147" s="33"/>
    </row>
    <row r="148" spans="1:26" x14ac:dyDescent="0.25">
      <c r="A148" s="30"/>
      <c r="B148" s="12"/>
      <c r="D148" s="41"/>
      <c r="H148" s="21"/>
      <c r="J148" s="23"/>
      <c r="M14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48" s="38">
        <f>tblDonnées[[#This Row],[MONTANT OPERATION]]+tblDonnées[[#This Row],[POS  FUSIONNEE CPTE AVANT OP]]</f>
        <v>0</v>
      </c>
      <c r="O148" s="17" t="str">
        <f>IF(ISBLANK(tblDonnées[[#This Row],[MONTANT AUTO]]), "N/A", ABS(tblDonnées[[#This Row],[POS  FUSIONNEE CPTE APRES OP]])-ABS(tblDonnées[[#This Row],[MONTANT AUTO]]))</f>
        <v>N/A</v>
      </c>
      <c r="P148" s="39" t="e">
        <f>tblDonnées[[#This Row],[DEPASSEMENT TOTAL SUR AUTO
]]/-tblDonnées[[#This Row],[MONTANT AUTO]]</f>
        <v>#VALUE!</v>
      </c>
      <c r="T148" s="17">
        <f>IF(tblDonnées[[#This Row],[0,5% du dép]]&lt;5000,5000,IF(tblDonnées[[#This Row],[0,5% du dép]]&gt;50000,50000,tblDonnées[[#This Row],[0,5% du dép]]))</f>
        <v>5000</v>
      </c>
      <c r="U148" s="10">
        <f>ABS(tblDonnées[[#This Row],[MONTANT DEPASSEMENT]]*0.005)</f>
        <v>0</v>
      </c>
      <c r="Z148" s="33"/>
    </row>
    <row r="149" spans="1:26" x14ac:dyDescent="0.25">
      <c r="A149" s="30"/>
      <c r="B149" s="12"/>
      <c r="D149" s="41"/>
      <c r="H149" s="21"/>
      <c r="J149" s="23"/>
      <c r="M14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49" s="38">
        <f>tblDonnées[[#This Row],[MONTANT OPERATION]]+tblDonnées[[#This Row],[POS  FUSIONNEE CPTE AVANT OP]]</f>
        <v>0</v>
      </c>
      <c r="O149" s="17" t="str">
        <f>IF(ISBLANK(tblDonnées[[#This Row],[MONTANT AUTO]]), "N/A", ABS(tblDonnées[[#This Row],[POS  FUSIONNEE CPTE APRES OP]])-ABS(tblDonnées[[#This Row],[MONTANT AUTO]]))</f>
        <v>N/A</v>
      </c>
      <c r="P149" s="39" t="e">
        <f>tblDonnées[[#This Row],[DEPASSEMENT TOTAL SUR AUTO
]]/-tblDonnées[[#This Row],[MONTANT AUTO]]</f>
        <v>#VALUE!</v>
      </c>
      <c r="T149" s="17">
        <f>IF(tblDonnées[[#This Row],[0,5% du dép]]&lt;5000,5000,IF(tblDonnées[[#This Row],[0,5% du dép]]&gt;50000,50000,tblDonnées[[#This Row],[0,5% du dép]]))</f>
        <v>5000</v>
      </c>
      <c r="U149" s="10">
        <f>ABS(tblDonnées[[#This Row],[MONTANT DEPASSEMENT]]*0.005)</f>
        <v>0</v>
      </c>
      <c r="Z149" s="33"/>
    </row>
    <row r="150" spans="1:26" x14ac:dyDescent="0.25">
      <c r="A150" s="30"/>
      <c r="B150" s="12"/>
      <c r="D150" s="41"/>
      <c r="H150" s="21"/>
      <c r="J150" s="23"/>
      <c r="M15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50" s="38">
        <f>tblDonnées[[#This Row],[MONTANT OPERATION]]+tblDonnées[[#This Row],[POS  FUSIONNEE CPTE AVANT OP]]</f>
        <v>0</v>
      </c>
      <c r="O150" s="17" t="str">
        <f>IF(ISBLANK(tblDonnées[[#This Row],[MONTANT AUTO]]), "N/A", ABS(tblDonnées[[#This Row],[POS  FUSIONNEE CPTE APRES OP]])-ABS(tblDonnées[[#This Row],[MONTANT AUTO]]))</f>
        <v>N/A</v>
      </c>
      <c r="P150" s="39" t="e">
        <f>tblDonnées[[#This Row],[DEPASSEMENT TOTAL SUR AUTO
]]/-tblDonnées[[#This Row],[MONTANT AUTO]]</f>
        <v>#VALUE!</v>
      </c>
      <c r="T150" s="17">
        <f>IF(tblDonnées[[#This Row],[0,5% du dép]]&lt;5000,5000,IF(tblDonnées[[#This Row],[0,5% du dép]]&gt;50000,50000,tblDonnées[[#This Row],[0,5% du dép]]))</f>
        <v>5000</v>
      </c>
      <c r="U150" s="10">
        <f>ABS(tblDonnées[[#This Row],[MONTANT DEPASSEMENT]]*0.005)</f>
        <v>0</v>
      </c>
      <c r="Z150" s="33"/>
    </row>
    <row r="151" spans="1:26" x14ac:dyDescent="0.25">
      <c r="A151" s="30"/>
      <c r="B151" s="12"/>
      <c r="D151" s="41"/>
      <c r="H151" s="21"/>
      <c r="J151" s="23"/>
      <c r="M15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51" s="38">
        <f>tblDonnées[[#This Row],[MONTANT OPERATION]]+tblDonnées[[#This Row],[POS  FUSIONNEE CPTE AVANT OP]]</f>
        <v>0</v>
      </c>
      <c r="O151" s="17" t="str">
        <f>IF(ISBLANK(tblDonnées[[#This Row],[MONTANT AUTO]]), "N/A", ABS(tblDonnées[[#This Row],[POS  FUSIONNEE CPTE APRES OP]])-ABS(tblDonnées[[#This Row],[MONTANT AUTO]]))</f>
        <v>N/A</v>
      </c>
      <c r="P151" s="39" t="e">
        <f>tblDonnées[[#This Row],[DEPASSEMENT TOTAL SUR AUTO
]]/-tblDonnées[[#This Row],[MONTANT AUTO]]</f>
        <v>#VALUE!</v>
      </c>
      <c r="T151" s="17">
        <f>IF(tblDonnées[[#This Row],[0,5% du dép]]&lt;5000,5000,IF(tblDonnées[[#This Row],[0,5% du dép]]&gt;50000,50000,tblDonnées[[#This Row],[0,5% du dép]]))</f>
        <v>5000</v>
      </c>
      <c r="U151" s="10">
        <f>ABS(tblDonnées[[#This Row],[MONTANT DEPASSEMENT]]*0.005)</f>
        <v>0</v>
      </c>
      <c r="Z151" s="33"/>
    </row>
    <row r="152" spans="1:26" x14ac:dyDescent="0.25">
      <c r="A152" s="30"/>
      <c r="B152" s="12"/>
      <c r="D152" s="41"/>
      <c r="H152" s="21"/>
      <c r="J152" s="23"/>
      <c r="M15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52" s="38">
        <f>tblDonnées[[#This Row],[MONTANT OPERATION]]+tblDonnées[[#This Row],[POS  FUSIONNEE CPTE AVANT OP]]</f>
        <v>0</v>
      </c>
      <c r="O152" s="17" t="str">
        <f>IF(ISBLANK(tblDonnées[[#This Row],[MONTANT AUTO]]), "N/A", ABS(tblDonnées[[#This Row],[POS  FUSIONNEE CPTE APRES OP]])-ABS(tblDonnées[[#This Row],[MONTANT AUTO]]))</f>
        <v>N/A</v>
      </c>
      <c r="P152" s="39" t="e">
        <f>tblDonnées[[#This Row],[DEPASSEMENT TOTAL SUR AUTO
]]/-tblDonnées[[#This Row],[MONTANT AUTO]]</f>
        <v>#VALUE!</v>
      </c>
      <c r="T152" s="17">
        <f>IF(tblDonnées[[#This Row],[0,5% du dép]]&lt;5000,5000,IF(tblDonnées[[#This Row],[0,5% du dép]]&gt;50000,50000,tblDonnées[[#This Row],[0,5% du dép]]))</f>
        <v>5000</v>
      </c>
      <c r="U152" s="10">
        <f>ABS(tblDonnées[[#This Row],[MONTANT DEPASSEMENT]]*0.005)</f>
        <v>0</v>
      </c>
      <c r="Z152" s="33"/>
    </row>
    <row r="153" spans="1:26" x14ac:dyDescent="0.25">
      <c r="A153" s="30"/>
      <c r="B153" s="12"/>
      <c r="D153" s="41"/>
      <c r="H153" s="21"/>
      <c r="J153" s="23"/>
      <c r="M15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53" s="38">
        <f>tblDonnées[[#This Row],[MONTANT OPERATION]]+tblDonnées[[#This Row],[POS  FUSIONNEE CPTE AVANT OP]]</f>
        <v>0</v>
      </c>
      <c r="O153" s="17" t="str">
        <f>IF(ISBLANK(tblDonnées[[#This Row],[MONTANT AUTO]]), "N/A", ABS(tblDonnées[[#This Row],[POS  FUSIONNEE CPTE APRES OP]])-ABS(tblDonnées[[#This Row],[MONTANT AUTO]]))</f>
        <v>N/A</v>
      </c>
      <c r="P153" s="39" t="e">
        <f>tblDonnées[[#This Row],[DEPASSEMENT TOTAL SUR AUTO
]]/-tblDonnées[[#This Row],[MONTANT AUTO]]</f>
        <v>#VALUE!</v>
      </c>
      <c r="T153" s="17">
        <f>IF(tblDonnées[[#This Row],[0,5% du dép]]&lt;5000,5000,IF(tblDonnées[[#This Row],[0,5% du dép]]&gt;50000,50000,tblDonnées[[#This Row],[0,5% du dép]]))</f>
        <v>5000</v>
      </c>
      <c r="U153" s="10">
        <f>ABS(tblDonnées[[#This Row],[MONTANT DEPASSEMENT]]*0.005)</f>
        <v>0</v>
      </c>
      <c r="Z153" s="33"/>
    </row>
    <row r="154" spans="1:26" x14ac:dyDescent="0.25">
      <c r="A154" s="30"/>
      <c r="B154" s="12"/>
      <c r="D154" s="41"/>
      <c r="H154" s="21"/>
      <c r="J154" s="23"/>
      <c r="M15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54" s="38">
        <f>tblDonnées[[#This Row],[MONTANT OPERATION]]+tblDonnées[[#This Row],[POS  FUSIONNEE CPTE AVANT OP]]</f>
        <v>0</v>
      </c>
      <c r="O154" s="17" t="str">
        <f>IF(ISBLANK(tblDonnées[[#This Row],[MONTANT AUTO]]), "N/A", ABS(tblDonnées[[#This Row],[POS  FUSIONNEE CPTE APRES OP]])-ABS(tblDonnées[[#This Row],[MONTANT AUTO]]))</f>
        <v>N/A</v>
      </c>
      <c r="P154" s="39" t="e">
        <f>tblDonnées[[#This Row],[DEPASSEMENT TOTAL SUR AUTO
]]/-tblDonnées[[#This Row],[MONTANT AUTO]]</f>
        <v>#VALUE!</v>
      </c>
      <c r="T154" s="17">
        <f>IF(tblDonnées[[#This Row],[0,5% du dép]]&lt;5000,5000,IF(tblDonnées[[#This Row],[0,5% du dép]]&gt;50000,50000,tblDonnées[[#This Row],[0,5% du dép]]))</f>
        <v>5000</v>
      </c>
      <c r="U154" s="10">
        <f>ABS(tblDonnées[[#This Row],[MONTANT DEPASSEMENT]]*0.005)</f>
        <v>0</v>
      </c>
      <c r="Z154" s="33"/>
    </row>
    <row r="155" spans="1:26" x14ac:dyDescent="0.25">
      <c r="A155" s="30"/>
      <c r="B155" s="12"/>
      <c r="D155" s="41"/>
      <c r="H155" s="21"/>
      <c r="J155" s="23"/>
      <c r="M15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55" s="38">
        <f>tblDonnées[[#This Row],[MONTANT OPERATION]]+tblDonnées[[#This Row],[POS  FUSIONNEE CPTE AVANT OP]]</f>
        <v>0</v>
      </c>
      <c r="O155" s="17" t="str">
        <f>IF(ISBLANK(tblDonnées[[#This Row],[MONTANT AUTO]]), "N/A", ABS(tblDonnées[[#This Row],[POS  FUSIONNEE CPTE APRES OP]])-ABS(tblDonnées[[#This Row],[MONTANT AUTO]]))</f>
        <v>N/A</v>
      </c>
      <c r="P155" s="39" t="e">
        <f>tblDonnées[[#This Row],[DEPASSEMENT TOTAL SUR AUTO
]]/-tblDonnées[[#This Row],[MONTANT AUTO]]</f>
        <v>#VALUE!</v>
      </c>
      <c r="T155" s="17">
        <f>IF(tblDonnées[[#This Row],[0,5% du dép]]&lt;5000,5000,IF(tblDonnées[[#This Row],[0,5% du dép]]&gt;50000,50000,tblDonnées[[#This Row],[0,5% du dép]]))</f>
        <v>5000</v>
      </c>
      <c r="U155" s="10">
        <f>ABS(tblDonnées[[#This Row],[MONTANT DEPASSEMENT]]*0.005)</f>
        <v>0</v>
      </c>
      <c r="Z155" s="33"/>
    </row>
    <row r="156" spans="1:26" x14ac:dyDescent="0.25">
      <c r="A156" s="30"/>
      <c r="B156" s="12"/>
      <c r="D156" s="41"/>
      <c r="H156" s="21"/>
      <c r="J156" s="23"/>
      <c r="M15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56" s="38">
        <f>tblDonnées[[#This Row],[MONTANT OPERATION]]+tblDonnées[[#This Row],[POS  FUSIONNEE CPTE AVANT OP]]</f>
        <v>0</v>
      </c>
      <c r="O156" s="17" t="str">
        <f>IF(ISBLANK(tblDonnées[[#This Row],[MONTANT AUTO]]), "N/A", ABS(tblDonnées[[#This Row],[POS  FUSIONNEE CPTE APRES OP]])-ABS(tblDonnées[[#This Row],[MONTANT AUTO]]))</f>
        <v>N/A</v>
      </c>
      <c r="P156" s="39" t="e">
        <f>tblDonnées[[#This Row],[DEPASSEMENT TOTAL SUR AUTO
]]/-tblDonnées[[#This Row],[MONTANT AUTO]]</f>
        <v>#VALUE!</v>
      </c>
      <c r="T156" s="17">
        <f>IF(tblDonnées[[#This Row],[0,5% du dép]]&lt;5000,5000,IF(tblDonnées[[#This Row],[0,5% du dép]]&gt;50000,50000,tblDonnées[[#This Row],[0,5% du dép]]))</f>
        <v>5000</v>
      </c>
      <c r="U156" s="10">
        <f>ABS(tblDonnées[[#This Row],[MONTANT DEPASSEMENT]]*0.005)</f>
        <v>0</v>
      </c>
      <c r="Z156" s="33"/>
    </row>
    <row r="157" spans="1:26" x14ac:dyDescent="0.25">
      <c r="A157" s="30"/>
      <c r="B157" s="12"/>
      <c r="D157" s="41"/>
      <c r="H157" s="21"/>
      <c r="J157" s="23"/>
      <c r="M15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57" s="38">
        <f>tblDonnées[[#This Row],[MONTANT OPERATION]]+tblDonnées[[#This Row],[POS  FUSIONNEE CPTE AVANT OP]]</f>
        <v>0</v>
      </c>
      <c r="O157" s="17" t="str">
        <f>IF(ISBLANK(tblDonnées[[#This Row],[MONTANT AUTO]]), "N/A", ABS(tblDonnées[[#This Row],[POS  FUSIONNEE CPTE APRES OP]])-ABS(tblDonnées[[#This Row],[MONTANT AUTO]]))</f>
        <v>N/A</v>
      </c>
      <c r="P157" s="39" t="e">
        <f>tblDonnées[[#This Row],[DEPASSEMENT TOTAL SUR AUTO
]]/-tblDonnées[[#This Row],[MONTANT AUTO]]</f>
        <v>#VALUE!</v>
      </c>
      <c r="T157" s="17">
        <f>IF(tblDonnées[[#This Row],[0,5% du dép]]&lt;5000,5000,IF(tblDonnées[[#This Row],[0,5% du dép]]&gt;50000,50000,tblDonnées[[#This Row],[0,5% du dép]]))</f>
        <v>5000</v>
      </c>
      <c r="U157" s="10">
        <f>ABS(tblDonnées[[#This Row],[MONTANT DEPASSEMENT]]*0.005)</f>
        <v>0</v>
      </c>
      <c r="Z157" s="33"/>
    </row>
    <row r="158" spans="1:26" x14ac:dyDescent="0.25">
      <c r="A158" s="30"/>
      <c r="B158" s="12"/>
      <c r="D158" s="41"/>
      <c r="H158" s="21"/>
      <c r="J158" s="23"/>
      <c r="M15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58" s="38">
        <f>tblDonnées[[#This Row],[MONTANT OPERATION]]+tblDonnées[[#This Row],[POS  FUSIONNEE CPTE AVANT OP]]</f>
        <v>0</v>
      </c>
      <c r="O158" s="17" t="str">
        <f>IF(ISBLANK(tblDonnées[[#This Row],[MONTANT AUTO]]), "N/A", ABS(tblDonnées[[#This Row],[POS  FUSIONNEE CPTE APRES OP]])-ABS(tblDonnées[[#This Row],[MONTANT AUTO]]))</f>
        <v>N/A</v>
      </c>
      <c r="P158" s="39" t="e">
        <f>tblDonnées[[#This Row],[DEPASSEMENT TOTAL SUR AUTO
]]/-tblDonnées[[#This Row],[MONTANT AUTO]]</f>
        <v>#VALUE!</v>
      </c>
      <c r="T158" s="17">
        <f>IF(tblDonnées[[#This Row],[0,5% du dép]]&lt;5000,5000,IF(tblDonnées[[#This Row],[0,5% du dép]]&gt;50000,50000,tblDonnées[[#This Row],[0,5% du dép]]))</f>
        <v>5000</v>
      </c>
      <c r="U158" s="10">
        <f>ABS(tblDonnées[[#This Row],[MONTANT DEPASSEMENT]]*0.005)</f>
        <v>0</v>
      </c>
      <c r="Z158" s="33"/>
    </row>
    <row r="159" spans="1:26" x14ac:dyDescent="0.25">
      <c r="A159" s="30"/>
      <c r="B159" s="12"/>
      <c r="D159" s="41"/>
      <c r="H159" s="21"/>
      <c r="J159" s="23"/>
      <c r="M15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59" s="38">
        <f>tblDonnées[[#This Row],[MONTANT OPERATION]]+tblDonnées[[#This Row],[POS  FUSIONNEE CPTE AVANT OP]]</f>
        <v>0</v>
      </c>
      <c r="O159" s="17" t="str">
        <f>IF(ISBLANK(tblDonnées[[#This Row],[MONTANT AUTO]]), "N/A", ABS(tblDonnées[[#This Row],[POS  FUSIONNEE CPTE APRES OP]])-ABS(tblDonnées[[#This Row],[MONTANT AUTO]]))</f>
        <v>N/A</v>
      </c>
      <c r="P159" s="39" t="e">
        <f>tblDonnées[[#This Row],[DEPASSEMENT TOTAL SUR AUTO
]]/-tblDonnées[[#This Row],[MONTANT AUTO]]</f>
        <v>#VALUE!</v>
      </c>
      <c r="T159" s="17">
        <f>IF(tblDonnées[[#This Row],[0,5% du dép]]&lt;5000,5000,IF(tblDonnées[[#This Row],[0,5% du dép]]&gt;50000,50000,tblDonnées[[#This Row],[0,5% du dép]]))</f>
        <v>5000</v>
      </c>
      <c r="U159" s="10">
        <f>ABS(tblDonnées[[#This Row],[MONTANT DEPASSEMENT]]*0.005)</f>
        <v>0</v>
      </c>
      <c r="Z159" s="33"/>
    </row>
    <row r="160" spans="1:26" x14ac:dyDescent="0.25">
      <c r="A160" s="30"/>
      <c r="B160" s="12"/>
      <c r="D160" s="41"/>
      <c r="H160" s="21"/>
      <c r="J160" s="23"/>
      <c r="M16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60" s="38">
        <f>tblDonnées[[#This Row],[MONTANT OPERATION]]+tblDonnées[[#This Row],[POS  FUSIONNEE CPTE AVANT OP]]</f>
        <v>0</v>
      </c>
      <c r="O160" s="17" t="str">
        <f>IF(ISBLANK(tblDonnées[[#This Row],[MONTANT AUTO]]), "N/A", ABS(tblDonnées[[#This Row],[POS  FUSIONNEE CPTE APRES OP]])-ABS(tblDonnées[[#This Row],[MONTANT AUTO]]))</f>
        <v>N/A</v>
      </c>
      <c r="P160" s="39" t="e">
        <f>tblDonnées[[#This Row],[DEPASSEMENT TOTAL SUR AUTO
]]/-tblDonnées[[#This Row],[MONTANT AUTO]]</f>
        <v>#VALUE!</v>
      </c>
      <c r="T160" s="17">
        <f>IF(tblDonnées[[#This Row],[0,5% du dép]]&lt;5000,5000,IF(tblDonnées[[#This Row],[0,5% du dép]]&gt;50000,50000,tblDonnées[[#This Row],[0,5% du dép]]))</f>
        <v>5000</v>
      </c>
      <c r="U160" s="10">
        <f>ABS(tblDonnées[[#This Row],[MONTANT DEPASSEMENT]]*0.005)</f>
        <v>0</v>
      </c>
      <c r="Z160" s="33"/>
    </row>
    <row r="161" spans="1:26" x14ac:dyDescent="0.25">
      <c r="A161" s="30"/>
      <c r="B161" s="12"/>
      <c r="D161" s="41"/>
      <c r="H161" s="21"/>
      <c r="J161" s="23"/>
      <c r="M16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61" s="38">
        <f>tblDonnées[[#This Row],[MONTANT OPERATION]]+tblDonnées[[#This Row],[POS  FUSIONNEE CPTE AVANT OP]]</f>
        <v>0</v>
      </c>
      <c r="O161" s="17" t="str">
        <f>IF(ISBLANK(tblDonnées[[#This Row],[MONTANT AUTO]]), "N/A", ABS(tblDonnées[[#This Row],[POS  FUSIONNEE CPTE APRES OP]])-ABS(tblDonnées[[#This Row],[MONTANT AUTO]]))</f>
        <v>N/A</v>
      </c>
      <c r="P161" s="39" t="e">
        <f>tblDonnées[[#This Row],[DEPASSEMENT TOTAL SUR AUTO
]]/-tblDonnées[[#This Row],[MONTANT AUTO]]</f>
        <v>#VALUE!</v>
      </c>
      <c r="T161" s="17">
        <f>IF(tblDonnées[[#This Row],[0,5% du dép]]&lt;5000,5000,IF(tblDonnées[[#This Row],[0,5% du dép]]&gt;50000,50000,tblDonnées[[#This Row],[0,5% du dép]]))</f>
        <v>5000</v>
      </c>
      <c r="U161" s="10">
        <f>ABS(tblDonnées[[#This Row],[MONTANT DEPASSEMENT]]*0.005)</f>
        <v>0</v>
      </c>
      <c r="Z161" s="33"/>
    </row>
    <row r="162" spans="1:26" x14ac:dyDescent="0.25">
      <c r="A162" s="30"/>
      <c r="B162" s="12"/>
      <c r="D162" s="41"/>
      <c r="H162" s="21"/>
      <c r="J162" s="23"/>
      <c r="M16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62" s="38">
        <f>tblDonnées[[#This Row],[MONTANT OPERATION]]+tblDonnées[[#This Row],[POS  FUSIONNEE CPTE AVANT OP]]</f>
        <v>0</v>
      </c>
      <c r="O162" s="17" t="str">
        <f>IF(ISBLANK(tblDonnées[[#This Row],[MONTANT AUTO]]), "N/A", ABS(tblDonnées[[#This Row],[POS  FUSIONNEE CPTE APRES OP]])-ABS(tblDonnées[[#This Row],[MONTANT AUTO]]))</f>
        <v>N/A</v>
      </c>
      <c r="P162" s="39" t="e">
        <f>tblDonnées[[#This Row],[DEPASSEMENT TOTAL SUR AUTO
]]/-tblDonnées[[#This Row],[MONTANT AUTO]]</f>
        <v>#VALUE!</v>
      </c>
      <c r="T162" s="17">
        <f>IF(tblDonnées[[#This Row],[0,5% du dép]]&lt;5000,5000,IF(tblDonnées[[#This Row],[0,5% du dép]]&gt;50000,50000,tblDonnées[[#This Row],[0,5% du dép]]))</f>
        <v>5000</v>
      </c>
      <c r="U162" s="10">
        <f>ABS(tblDonnées[[#This Row],[MONTANT DEPASSEMENT]]*0.005)</f>
        <v>0</v>
      </c>
      <c r="Z162" s="33"/>
    </row>
    <row r="163" spans="1:26" x14ac:dyDescent="0.25">
      <c r="A163" s="30"/>
      <c r="B163" s="12"/>
      <c r="D163" s="41"/>
      <c r="H163" s="21"/>
      <c r="J163" s="23"/>
      <c r="M16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63" s="38">
        <f>tblDonnées[[#This Row],[MONTANT OPERATION]]+tblDonnées[[#This Row],[POS  FUSIONNEE CPTE AVANT OP]]</f>
        <v>0</v>
      </c>
      <c r="O163" s="17" t="str">
        <f>IF(ISBLANK(tblDonnées[[#This Row],[MONTANT AUTO]]), "N/A", ABS(tblDonnées[[#This Row],[POS  FUSIONNEE CPTE APRES OP]])-ABS(tblDonnées[[#This Row],[MONTANT AUTO]]))</f>
        <v>N/A</v>
      </c>
      <c r="P163" s="39" t="e">
        <f>tblDonnées[[#This Row],[DEPASSEMENT TOTAL SUR AUTO
]]/-tblDonnées[[#This Row],[MONTANT AUTO]]</f>
        <v>#VALUE!</v>
      </c>
      <c r="T163" s="17">
        <f>IF(tblDonnées[[#This Row],[0,5% du dép]]&lt;5000,5000,IF(tblDonnées[[#This Row],[0,5% du dép]]&gt;50000,50000,tblDonnées[[#This Row],[0,5% du dép]]))</f>
        <v>5000</v>
      </c>
      <c r="U163" s="10">
        <f>ABS(tblDonnées[[#This Row],[MONTANT DEPASSEMENT]]*0.005)</f>
        <v>0</v>
      </c>
      <c r="Z163" s="33"/>
    </row>
    <row r="164" spans="1:26" x14ac:dyDescent="0.25">
      <c r="A164" s="30"/>
      <c r="B164" s="12"/>
      <c r="D164" s="41"/>
      <c r="H164" s="21"/>
      <c r="J164" s="23"/>
      <c r="M16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64" s="38">
        <f>tblDonnées[[#This Row],[MONTANT OPERATION]]+tblDonnées[[#This Row],[POS  FUSIONNEE CPTE AVANT OP]]</f>
        <v>0</v>
      </c>
      <c r="O164" s="17" t="str">
        <f>IF(ISBLANK(tblDonnées[[#This Row],[MONTANT AUTO]]), "N/A", ABS(tblDonnées[[#This Row],[POS  FUSIONNEE CPTE APRES OP]])-ABS(tblDonnées[[#This Row],[MONTANT AUTO]]))</f>
        <v>N/A</v>
      </c>
      <c r="P164" s="39" t="e">
        <f>tblDonnées[[#This Row],[DEPASSEMENT TOTAL SUR AUTO
]]/-tblDonnées[[#This Row],[MONTANT AUTO]]</f>
        <v>#VALUE!</v>
      </c>
      <c r="T164" s="17">
        <f>IF(tblDonnées[[#This Row],[0,5% du dép]]&lt;5000,5000,IF(tblDonnées[[#This Row],[0,5% du dép]]&gt;50000,50000,tblDonnées[[#This Row],[0,5% du dép]]))</f>
        <v>5000</v>
      </c>
      <c r="U164" s="10">
        <f>ABS(tblDonnées[[#This Row],[MONTANT DEPASSEMENT]]*0.005)</f>
        <v>0</v>
      </c>
      <c r="Z164" s="33"/>
    </row>
    <row r="165" spans="1:26" x14ac:dyDescent="0.25">
      <c r="A165" s="30"/>
      <c r="B165" s="12"/>
      <c r="D165" s="41"/>
      <c r="H165" s="21"/>
      <c r="J165" s="23"/>
      <c r="M16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65" s="38">
        <f>tblDonnées[[#This Row],[MONTANT OPERATION]]+tblDonnées[[#This Row],[POS  FUSIONNEE CPTE AVANT OP]]</f>
        <v>0</v>
      </c>
      <c r="O165" s="17" t="str">
        <f>IF(ISBLANK(tblDonnées[[#This Row],[MONTANT AUTO]]), "N/A", ABS(tblDonnées[[#This Row],[POS  FUSIONNEE CPTE APRES OP]])-ABS(tblDonnées[[#This Row],[MONTANT AUTO]]))</f>
        <v>N/A</v>
      </c>
      <c r="P165" s="39" t="e">
        <f>tblDonnées[[#This Row],[DEPASSEMENT TOTAL SUR AUTO
]]/-tblDonnées[[#This Row],[MONTANT AUTO]]</f>
        <v>#VALUE!</v>
      </c>
      <c r="T165" s="17">
        <f>IF(tblDonnées[[#This Row],[0,5% du dép]]&lt;5000,5000,IF(tblDonnées[[#This Row],[0,5% du dép]]&gt;50000,50000,tblDonnées[[#This Row],[0,5% du dép]]))</f>
        <v>5000</v>
      </c>
      <c r="U165" s="10">
        <f>ABS(tblDonnées[[#This Row],[MONTANT DEPASSEMENT]]*0.005)</f>
        <v>0</v>
      </c>
      <c r="Z165" s="33"/>
    </row>
    <row r="166" spans="1:26" x14ac:dyDescent="0.25">
      <c r="A166" s="30"/>
      <c r="B166" s="12"/>
      <c r="D166" s="41"/>
      <c r="H166" s="21"/>
      <c r="J166" s="23"/>
      <c r="M16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66" s="38">
        <f>tblDonnées[[#This Row],[MONTANT OPERATION]]+tblDonnées[[#This Row],[POS  FUSIONNEE CPTE AVANT OP]]</f>
        <v>0</v>
      </c>
      <c r="O166" s="17" t="str">
        <f>IF(ISBLANK(tblDonnées[[#This Row],[MONTANT AUTO]]), "N/A", ABS(tblDonnées[[#This Row],[POS  FUSIONNEE CPTE APRES OP]])-ABS(tblDonnées[[#This Row],[MONTANT AUTO]]))</f>
        <v>N/A</v>
      </c>
      <c r="P166" s="39" t="e">
        <f>tblDonnées[[#This Row],[DEPASSEMENT TOTAL SUR AUTO
]]/-tblDonnées[[#This Row],[MONTANT AUTO]]</f>
        <v>#VALUE!</v>
      </c>
      <c r="T166" s="17">
        <f>IF(tblDonnées[[#This Row],[0,5% du dép]]&lt;5000,5000,IF(tblDonnées[[#This Row],[0,5% du dép]]&gt;50000,50000,tblDonnées[[#This Row],[0,5% du dép]]))</f>
        <v>5000</v>
      </c>
      <c r="U166" s="10">
        <f>ABS(tblDonnées[[#This Row],[MONTANT DEPASSEMENT]]*0.005)</f>
        <v>0</v>
      </c>
      <c r="Z166" s="33"/>
    </row>
    <row r="167" spans="1:26" x14ac:dyDescent="0.25">
      <c r="A167" s="30"/>
      <c r="B167" s="12"/>
      <c r="D167" s="41"/>
      <c r="H167" s="21"/>
      <c r="J167" s="23"/>
      <c r="M16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67" s="38">
        <f>tblDonnées[[#This Row],[MONTANT OPERATION]]+tblDonnées[[#This Row],[POS  FUSIONNEE CPTE AVANT OP]]</f>
        <v>0</v>
      </c>
      <c r="O167" s="17" t="str">
        <f>IF(ISBLANK(tblDonnées[[#This Row],[MONTANT AUTO]]), "N/A", ABS(tblDonnées[[#This Row],[POS  FUSIONNEE CPTE APRES OP]])-ABS(tblDonnées[[#This Row],[MONTANT AUTO]]))</f>
        <v>N/A</v>
      </c>
      <c r="P167" s="39" t="e">
        <f>tblDonnées[[#This Row],[DEPASSEMENT TOTAL SUR AUTO
]]/-tblDonnées[[#This Row],[MONTANT AUTO]]</f>
        <v>#VALUE!</v>
      </c>
      <c r="T167" s="17">
        <f>IF(tblDonnées[[#This Row],[0,5% du dép]]&lt;5000,5000,IF(tblDonnées[[#This Row],[0,5% du dép]]&gt;50000,50000,tblDonnées[[#This Row],[0,5% du dép]]))</f>
        <v>5000</v>
      </c>
      <c r="U167" s="10">
        <f>ABS(tblDonnées[[#This Row],[MONTANT DEPASSEMENT]]*0.005)</f>
        <v>0</v>
      </c>
      <c r="Z167" s="33"/>
    </row>
    <row r="168" spans="1:26" x14ac:dyDescent="0.25">
      <c r="A168" s="30"/>
      <c r="B168" s="12"/>
      <c r="D168" s="41"/>
      <c r="H168" s="21"/>
      <c r="J168" s="23"/>
      <c r="M16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68" s="38">
        <f>tblDonnées[[#This Row],[MONTANT OPERATION]]+tblDonnées[[#This Row],[POS  FUSIONNEE CPTE AVANT OP]]</f>
        <v>0</v>
      </c>
      <c r="O168" s="17" t="str">
        <f>IF(ISBLANK(tblDonnées[[#This Row],[MONTANT AUTO]]), "N/A", ABS(tblDonnées[[#This Row],[POS  FUSIONNEE CPTE APRES OP]])-ABS(tblDonnées[[#This Row],[MONTANT AUTO]]))</f>
        <v>N/A</v>
      </c>
      <c r="P168" s="39" t="e">
        <f>tblDonnées[[#This Row],[DEPASSEMENT TOTAL SUR AUTO
]]/-tblDonnées[[#This Row],[MONTANT AUTO]]</f>
        <v>#VALUE!</v>
      </c>
      <c r="T168" s="17">
        <f>IF(tblDonnées[[#This Row],[0,5% du dép]]&lt;5000,5000,IF(tblDonnées[[#This Row],[0,5% du dép]]&gt;50000,50000,tblDonnées[[#This Row],[0,5% du dép]]))</f>
        <v>5000</v>
      </c>
      <c r="U168" s="10">
        <f>ABS(tblDonnées[[#This Row],[MONTANT DEPASSEMENT]]*0.005)</f>
        <v>0</v>
      </c>
      <c r="Z168" s="33"/>
    </row>
    <row r="169" spans="1:26" x14ac:dyDescent="0.25">
      <c r="A169" s="30"/>
      <c r="B169" s="12"/>
      <c r="D169" s="41"/>
      <c r="H169" s="21"/>
      <c r="J169" s="23"/>
      <c r="M16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69" s="38">
        <f>tblDonnées[[#This Row],[MONTANT OPERATION]]+tblDonnées[[#This Row],[POS  FUSIONNEE CPTE AVANT OP]]</f>
        <v>0</v>
      </c>
      <c r="O169" s="17" t="str">
        <f>IF(ISBLANK(tblDonnées[[#This Row],[MONTANT AUTO]]), "N/A", ABS(tblDonnées[[#This Row],[POS  FUSIONNEE CPTE APRES OP]])-ABS(tblDonnées[[#This Row],[MONTANT AUTO]]))</f>
        <v>N/A</v>
      </c>
      <c r="P169" s="39" t="e">
        <f>tblDonnées[[#This Row],[DEPASSEMENT TOTAL SUR AUTO
]]/-tblDonnées[[#This Row],[MONTANT AUTO]]</f>
        <v>#VALUE!</v>
      </c>
      <c r="T169" s="17">
        <f>IF(tblDonnées[[#This Row],[0,5% du dép]]&lt;5000,5000,IF(tblDonnées[[#This Row],[0,5% du dép]]&gt;50000,50000,tblDonnées[[#This Row],[0,5% du dép]]))</f>
        <v>5000</v>
      </c>
      <c r="U169" s="10">
        <f>ABS(tblDonnées[[#This Row],[MONTANT DEPASSEMENT]]*0.005)</f>
        <v>0</v>
      </c>
      <c r="Z169" s="33"/>
    </row>
    <row r="170" spans="1:26" x14ac:dyDescent="0.25">
      <c r="A170" s="30"/>
      <c r="B170" s="12"/>
      <c r="D170" s="41"/>
      <c r="H170" s="21"/>
      <c r="J170" s="23"/>
      <c r="M17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70" s="38">
        <f>tblDonnées[[#This Row],[MONTANT OPERATION]]+tblDonnées[[#This Row],[POS  FUSIONNEE CPTE AVANT OP]]</f>
        <v>0</v>
      </c>
      <c r="O170" s="17" t="str">
        <f>IF(ISBLANK(tblDonnées[[#This Row],[MONTANT AUTO]]), "N/A", ABS(tblDonnées[[#This Row],[POS  FUSIONNEE CPTE APRES OP]])-ABS(tblDonnées[[#This Row],[MONTANT AUTO]]))</f>
        <v>N/A</v>
      </c>
      <c r="P170" s="39" t="e">
        <f>tblDonnées[[#This Row],[DEPASSEMENT TOTAL SUR AUTO
]]/-tblDonnées[[#This Row],[MONTANT AUTO]]</f>
        <v>#VALUE!</v>
      </c>
      <c r="T170" s="17">
        <f>IF(tblDonnées[[#This Row],[0,5% du dép]]&lt;5000,5000,IF(tblDonnées[[#This Row],[0,5% du dép]]&gt;50000,50000,tblDonnées[[#This Row],[0,5% du dép]]))</f>
        <v>5000</v>
      </c>
      <c r="U170" s="10">
        <f>ABS(tblDonnées[[#This Row],[MONTANT DEPASSEMENT]]*0.005)</f>
        <v>0</v>
      </c>
      <c r="Z170" s="33"/>
    </row>
    <row r="171" spans="1:26" x14ac:dyDescent="0.25">
      <c r="A171" s="30"/>
      <c r="B171" s="12"/>
      <c r="D171" s="41"/>
      <c r="H171" s="21"/>
      <c r="J171" s="23"/>
      <c r="M17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71" s="38">
        <f>tblDonnées[[#This Row],[MONTANT OPERATION]]+tblDonnées[[#This Row],[POS  FUSIONNEE CPTE AVANT OP]]</f>
        <v>0</v>
      </c>
      <c r="O171" s="17" t="str">
        <f>IF(ISBLANK(tblDonnées[[#This Row],[MONTANT AUTO]]), "N/A", ABS(tblDonnées[[#This Row],[POS  FUSIONNEE CPTE APRES OP]])-ABS(tblDonnées[[#This Row],[MONTANT AUTO]]))</f>
        <v>N/A</v>
      </c>
      <c r="P171" s="39" t="e">
        <f>tblDonnées[[#This Row],[DEPASSEMENT TOTAL SUR AUTO
]]/-tblDonnées[[#This Row],[MONTANT AUTO]]</f>
        <v>#VALUE!</v>
      </c>
      <c r="T171" s="17">
        <f>IF(tblDonnées[[#This Row],[0,5% du dép]]&lt;5000,5000,IF(tblDonnées[[#This Row],[0,5% du dép]]&gt;50000,50000,tblDonnées[[#This Row],[0,5% du dép]]))</f>
        <v>5000</v>
      </c>
      <c r="U171" s="10">
        <f>ABS(tblDonnées[[#This Row],[MONTANT DEPASSEMENT]]*0.005)</f>
        <v>0</v>
      </c>
      <c r="Z171" s="33"/>
    </row>
    <row r="172" spans="1:26" x14ac:dyDescent="0.25">
      <c r="A172" s="30"/>
      <c r="B172" s="12"/>
      <c r="D172" s="41"/>
      <c r="H172" s="21"/>
      <c r="J172" s="23"/>
      <c r="M17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72" s="38">
        <f>tblDonnées[[#This Row],[MONTANT OPERATION]]+tblDonnées[[#This Row],[POS  FUSIONNEE CPTE AVANT OP]]</f>
        <v>0</v>
      </c>
      <c r="O172" s="17" t="str">
        <f>IF(ISBLANK(tblDonnées[[#This Row],[MONTANT AUTO]]), "N/A", ABS(tblDonnées[[#This Row],[POS  FUSIONNEE CPTE APRES OP]])-ABS(tblDonnées[[#This Row],[MONTANT AUTO]]))</f>
        <v>N/A</v>
      </c>
      <c r="P172" s="39" t="e">
        <f>tblDonnées[[#This Row],[DEPASSEMENT TOTAL SUR AUTO
]]/-tblDonnées[[#This Row],[MONTANT AUTO]]</f>
        <v>#VALUE!</v>
      </c>
      <c r="T172" s="17">
        <f>IF(tblDonnées[[#This Row],[0,5% du dép]]&lt;5000,5000,IF(tblDonnées[[#This Row],[0,5% du dép]]&gt;50000,50000,tblDonnées[[#This Row],[0,5% du dép]]))</f>
        <v>5000</v>
      </c>
      <c r="U172" s="10">
        <f>ABS(tblDonnées[[#This Row],[MONTANT DEPASSEMENT]]*0.005)</f>
        <v>0</v>
      </c>
      <c r="Z172" s="33"/>
    </row>
    <row r="173" spans="1:26" x14ac:dyDescent="0.25">
      <c r="A173" s="30"/>
      <c r="B173" s="12"/>
      <c r="D173" s="41"/>
      <c r="H173" s="21"/>
      <c r="J173" s="23"/>
      <c r="M17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73" s="38">
        <f>tblDonnées[[#This Row],[MONTANT OPERATION]]+tblDonnées[[#This Row],[POS  FUSIONNEE CPTE AVANT OP]]</f>
        <v>0</v>
      </c>
      <c r="O173" s="17" t="str">
        <f>IF(ISBLANK(tblDonnées[[#This Row],[MONTANT AUTO]]), "N/A", ABS(tblDonnées[[#This Row],[POS  FUSIONNEE CPTE APRES OP]])-ABS(tblDonnées[[#This Row],[MONTANT AUTO]]))</f>
        <v>N/A</v>
      </c>
      <c r="P173" s="39" t="e">
        <f>tblDonnées[[#This Row],[DEPASSEMENT TOTAL SUR AUTO
]]/-tblDonnées[[#This Row],[MONTANT AUTO]]</f>
        <v>#VALUE!</v>
      </c>
      <c r="T173" s="17">
        <f>IF(tblDonnées[[#This Row],[0,5% du dép]]&lt;5000,5000,IF(tblDonnées[[#This Row],[0,5% du dép]]&gt;50000,50000,tblDonnées[[#This Row],[0,5% du dép]]))</f>
        <v>5000</v>
      </c>
      <c r="U173" s="10">
        <f>ABS(tblDonnées[[#This Row],[MONTANT DEPASSEMENT]]*0.005)</f>
        <v>0</v>
      </c>
      <c r="Z173" s="33"/>
    </row>
    <row r="174" spans="1:26" x14ac:dyDescent="0.25">
      <c r="A174" s="30"/>
      <c r="B174" s="12"/>
      <c r="D174" s="41"/>
      <c r="H174" s="21"/>
      <c r="J174" s="23"/>
      <c r="M17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74" s="38">
        <f>tblDonnées[[#This Row],[MONTANT OPERATION]]+tblDonnées[[#This Row],[POS  FUSIONNEE CPTE AVANT OP]]</f>
        <v>0</v>
      </c>
      <c r="O174" s="17" t="str">
        <f>IF(ISBLANK(tblDonnées[[#This Row],[MONTANT AUTO]]), "N/A", ABS(tblDonnées[[#This Row],[POS  FUSIONNEE CPTE APRES OP]])-ABS(tblDonnées[[#This Row],[MONTANT AUTO]]))</f>
        <v>N/A</v>
      </c>
      <c r="P174" s="39" t="e">
        <f>tblDonnées[[#This Row],[DEPASSEMENT TOTAL SUR AUTO
]]/-tblDonnées[[#This Row],[MONTANT AUTO]]</f>
        <v>#VALUE!</v>
      </c>
      <c r="T174" s="17">
        <f>IF(tblDonnées[[#This Row],[0,5% du dép]]&lt;5000,5000,IF(tblDonnées[[#This Row],[0,5% du dép]]&gt;50000,50000,tblDonnées[[#This Row],[0,5% du dép]]))</f>
        <v>5000</v>
      </c>
      <c r="U174" s="10">
        <f>ABS(tblDonnées[[#This Row],[MONTANT DEPASSEMENT]]*0.005)</f>
        <v>0</v>
      </c>
      <c r="Z174" s="33"/>
    </row>
    <row r="175" spans="1:26" x14ac:dyDescent="0.25">
      <c r="A175" s="30"/>
      <c r="B175" s="12"/>
      <c r="D175" s="41"/>
      <c r="E175" s="41"/>
      <c r="F175" s="21"/>
      <c r="H175" s="21"/>
      <c r="J175" s="23"/>
      <c r="M17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75" s="38">
        <f>tblDonnées[[#This Row],[MONTANT OPERATION]]+tblDonnées[[#This Row],[POS  FUSIONNEE CPTE AVANT OP]]</f>
        <v>0</v>
      </c>
      <c r="O175" s="17" t="str">
        <f>IF(ISBLANK(tblDonnées[[#This Row],[MONTANT AUTO]]), "N/A", ABS(tblDonnées[[#This Row],[POS  FUSIONNEE CPTE APRES OP]])-ABS(tblDonnées[[#This Row],[MONTANT AUTO]]))</f>
        <v>N/A</v>
      </c>
      <c r="P175" s="39" t="e">
        <f>tblDonnées[[#This Row],[DEPASSEMENT TOTAL SUR AUTO
]]/-tblDonnées[[#This Row],[MONTANT AUTO]]</f>
        <v>#VALUE!</v>
      </c>
      <c r="T175" s="17">
        <f>IF(tblDonnées[[#This Row],[0,5% du dép]]&lt;5000,5000,IF(tblDonnées[[#This Row],[0,5% du dép]]&gt;50000,50000,tblDonnées[[#This Row],[0,5% du dép]]))</f>
        <v>5000</v>
      </c>
      <c r="U175" s="10">
        <f>ABS(tblDonnées[[#This Row],[MONTANT DEPASSEMENT]]*0.005)</f>
        <v>0</v>
      </c>
      <c r="Z175" s="33"/>
    </row>
    <row r="176" spans="1:26" x14ac:dyDescent="0.25">
      <c r="A176" s="30"/>
      <c r="B176" s="12"/>
      <c r="D176" s="41"/>
      <c r="E176" s="21"/>
      <c r="F176" s="21"/>
      <c r="H176" s="21"/>
      <c r="J176" s="23"/>
      <c r="M17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76" s="38">
        <f>tblDonnées[[#This Row],[MONTANT OPERATION]]+tblDonnées[[#This Row],[POS  FUSIONNEE CPTE AVANT OP]]</f>
        <v>0</v>
      </c>
      <c r="O176" s="17" t="str">
        <f>IF(ISBLANK(tblDonnées[[#This Row],[MONTANT AUTO]]), "N/A", ABS(tblDonnées[[#This Row],[POS  FUSIONNEE CPTE APRES OP]])-ABS(tblDonnées[[#This Row],[MONTANT AUTO]]))</f>
        <v>N/A</v>
      </c>
      <c r="P176" s="39" t="e">
        <f>tblDonnées[[#This Row],[DEPASSEMENT TOTAL SUR AUTO
]]/-tblDonnées[[#This Row],[MONTANT AUTO]]</f>
        <v>#VALUE!</v>
      </c>
      <c r="T176" s="17">
        <f>IF(tblDonnées[[#This Row],[0,5% du dép]]&lt;5000,5000,IF(tblDonnées[[#This Row],[0,5% du dép]]&gt;50000,50000,tblDonnées[[#This Row],[0,5% du dép]]))</f>
        <v>5000</v>
      </c>
      <c r="U176" s="10">
        <f>ABS(tblDonnées[[#This Row],[MONTANT DEPASSEMENT]]*0.005)</f>
        <v>0</v>
      </c>
      <c r="Z176" s="33"/>
    </row>
    <row r="177" spans="1:26" x14ac:dyDescent="0.25">
      <c r="A177" s="30"/>
      <c r="B177" s="12"/>
      <c r="D177" s="41"/>
      <c r="H177" s="21"/>
      <c r="J177" s="23"/>
      <c r="M17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77" s="38">
        <f>tblDonnées[[#This Row],[MONTANT OPERATION]]+tblDonnées[[#This Row],[POS  FUSIONNEE CPTE AVANT OP]]</f>
        <v>0</v>
      </c>
      <c r="O177" s="17" t="str">
        <f>IF(ISBLANK(tblDonnées[[#This Row],[MONTANT AUTO]]), "N/A", ABS(tblDonnées[[#This Row],[POS  FUSIONNEE CPTE APRES OP]])-ABS(tblDonnées[[#This Row],[MONTANT AUTO]]))</f>
        <v>N/A</v>
      </c>
      <c r="P177" s="39" t="e">
        <f>tblDonnées[[#This Row],[DEPASSEMENT TOTAL SUR AUTO
]]/-tblDonnées[[#This Row],[MONTANT AUTO]]</f>
        <v>#VALUE!</v>
      </c>
      <c r="T177" s="17">
        <f>IF(tblDonnées[[#This Row],[0,5% du dép]]&lt;5000,5000,IF(tblDonnées[[#This Row],[0,5% du dép]]&gt;50000,50000,tblDonnées[[#This Row],[0,5% du dép]]))</f>
        <v>5000</v>
      </c>
      <c r="U177" s="10">
        <f>ABS(tblDonnées[[#This Row],[MONTANT DEPASSEMENT]]*0.005)</f>
        <v>0</v>
      </c>
      <c r="Z177" s="33"/>
    </row>
    <row r="178" spans="1:26" x14ac:dyDescent="0.25">
      <c r="A178" s="30"/>
      <c r="B178" s="12"/>
      <c r="D178" s="41"/>
      <c r="H178" s="21"/>
      <c r="J178" s="23"/>
      <c r="M17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78" s="38">
        <f>tblDonnées[[#This Row],[MONTANT OPERATION]]+tblDonnées[[#This Row],[POS  FUSIONNEE CPTE AVANT OP]]</f>
        <v>0</v>
      </c>
      <c r="O178" s="17" t="str">
        <f>IF(ISBLANK(tblDonnées[[#This Row],[MONTANT AUTO]]), "N/A", ABS(tblDonnées[[#This Row],[POS  FUSIONNEE CPTE APRES OP]])-ABS(tblDonnées[[#This Row],[MONTANT AUTO]]))</f>
        <v>N/A</v>
      </c>
      <c r="P178" s="39" t="e">
        <f>tblDonnées[[#This Row],[DEPASSEMENT TOTAL SUR AUTO
]]/-tblDonnées[[#This Row],[MONTANT AUTO]]</f>
        <v>#VALUE!</v>
      </c>
      <c r="T178" s="17">
        <f>IF(tblDonnées[[#This Row],[0,5% du dép]]&lt;5000,5000,IF(tblDonnées[[#This Row],[0,5% du dép]]&gt;50000,50000,tblDonnées[[#This Row],[0,5% du dép]]))</f>
        <v>5000</v>
      </c>
      <c r="U178" s="10">
        <f>ABS(tblDonnées[[#This Row],[MONTANT DEPASSEMENT]]*0.005)</f>
        <v>0</v>
      </c>
      <c r="Z178" s="33"/>
    </row>
    <row r="179" spans="1:26" x14ac:dyDescent="0.25">
      <c r="A179" s="30"/>
      <c r="B179" s="12"/>
      <c r="D179" s="41"/>
      <c r="E179" s="11"/>
      <c r="F179" s="21"/>
      <c r="H179" s="21"/>
      <c r="J179" s="23"/>
      <c r="M17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79" s="38">
        <f>tblDonnées[[#This Row],[MONTANT OPERATION]]+tblDonnées[[#This Row],[POS  FUSIONNEE CPTE AVANT OP]]</f>
        <v>0</v>
      </c>
      <c r="O179" s="17" t="str">
        <f>IF(ISBLANK(tblDonnées[[#This Row],[MONTANT AUTO]]), "N/A", ABS(tblDonnées[[#This Row],[POS  FUSIONNEE CPTE APRES OP]])-ABS(tblDonnées[[#This Row],[MONTANT AUTO]]))</f>
        <v>N/A</v>
      </c>
      <c r="P179" s="39" t="e">
        <f>tblDonnées[[#This Row],[DEPASSEMENT TOTAL SUR AUTO
]]/-tblDonnées[[#This Row],[MONTANT AUTO]]</f>
        <v>#VALUE!</v>
      </c>
      <c r="T179" s="17">
        <f>IF(tblDonnées[[#This Row],[0,5% du dép]]&lt;5000,5000,IF(tblDonnées[[#This Row],[0,5% du dép]]&gt;50000,50000,tblDonnées[[#This Row],[0,5% du dép]]))</f>
        <v>5000</v>
      </c>
      <c r="U179" s="10">
        <f>ABS(tblDonnées[[#This Row],[MONTANT DEPASSEMENT]]*0.005)</f>
        <v>0</v>
      </c>
      <c r="Z179" s="33"/>
    </row>
    <row r="180" spans="1:26" x14ac:dyDescent="0.25">
      <c r="A180" s="30"/>
      <c r="B180" s="12"/>
      <c r="D180" s="41"/>
      <c r="H180" s="21"/>
      <c r="J180" s="23"/>
      <c r="M18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80" s="38">
        <f>tblDonnées[[#This Row],[MONTANT OPERATION]]+tblDonnées[[#This Row],[POS  FUSIONNEE CPTE AVANT OP]]</f>
        <v>0</v>
      </c>
      <c r="O180" s="17" t="str">
        <f>IF(ISBLANK(tblDonnées[[#This Row],[MONTANT AUTO]]), "N/A", ABS(tblDonnées[[#This Row],[POS  FUSIONNEE CPTE APRES OP]])-ABS(tblDonnées[[#This Row],[MONTANT AUTO]]))</f>
        <v>N/A</v>
      </c>
      <c r="P180" s="39" t="e">
        <f>tblDonnées[[#This Row],[DEPASSEMENT TOTAL SUR AUTO
]]/-tblDonnées[[#This Row],[MONTANT AUTO]]</f>
        <v>#VALUE!</v>
      </c>
      <c r="T180" s="17">
        <f>IF(tblDonnées[[#This Row],[0,5% du dép]]&lt;5000,5000,IF(tblDonnées[[#This Row],[0,5% du dép]]&gt;50000,50000,tblDonnées[[#This Row],[0,5% du dép]]))</f>
        <v>5000</v>
      </c>
      <c r="U180" s="10">
        <f>ABS(tblDonnées[[#This Row],[MONTANT DEPASSEMENT]]*0.005)</f>
        <v>0</v>
      </c>
      <c r="Z180" s="33"/>
    </row>
    <row r="181" spans="1:26" x14ac:dyDescent="0.25">
      <c r="A181" s="30"/>
      <c r="B181" s="12"/>
      <c r="D181" s="41"/>
      <c r="E181" s="21"/>
      <c r="H181" s="21"/>
      <c r="J181" s="23"/>
      <c r="M18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81" s="38">
        <f>tblDonnées[[#This Row],[MONTANT OPERATION]]+tblDonnées[[#This Row],[POS  FUSIONNEE CPTE AVANT OP]]</f>
        <v>0</v>
      </c>
      <c r="O181" s="17" t="str">
        <f>IF(ISBLANK(tblDonnées[[#This Row],[MONTANT AUTO]]), "N/A", ABS(tblDonnées[[#This Row],[POS  FUSIONNEE CPTE APRES OP]])-ABS(tblDonnées[[#This Row],[MONTANT AUTO]]))</f>
        <v>N/A</v>
      </c>
      <c r="P181" s="39" t="e">
        <f>tblDonnées[[#This Row],[DEPASSEMENT TOTAL SUR AUTO
]]/-tblDonnées[[#This Row],[MONTANT AUTO]]</f>
        <v>#VALUE!</v>
      </c>
      <c r="T181" s="17">
        <f>IF(tblDonnées[[#This Row],[0,5% du dép]]&lt;5000,5000,IF(tblDonnées[[#This Row],[0,5% du dép]]&gt;50000,50000,tblDonnées[[#This Row],[0,5% du dép]]))</f>
        <v>5000</v>
      </c>
      <c r="U181" s="10">
        <f>ABS(tblDonnées[[#This Row],[MONTANT DEPASSEMENT]]*0.005)</f>
        <v>0</v>
      </c>
      <c r="Z181" s="33"/>
    </row>
    <row r="182" spans="1:26" x14ac:dyDescent="0.25">
      <c r="A182" s="30"/>
      <c r="B182" s="12"/>
      <c r="D182" s="41"/>
      <c r="H182" s="21"/>
      <c r="J182" s="23"/>
      <c r="M18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82" s="38">
        <f>tblDonnées[[#This Row],[MONTANT OPERATION]]+tblDonnées[[#This Row],[POS  FUSIONNEE CPTE AVANT OP]]</f>
        <v>0</v>
      </c>
      <c r="O182" s="17" t="str">
        <f>IF(ISBLANK(tblDonnées[[#This Row],[MONTANT AUTO]]), "N/A", ABS(tblDonnées[[#This Row],[POS  FUSIONNEE CPTE APRES OP]])-ABS(tblDonnées[[#This Row],[MONTANT AUTO]]))</f>
        <v>N/A</v>
      </c>
      <c r="P182" s="39" t="e">
        <f>tblDonnées[[#This Row],[DEPASSEMENT TOTAL SUR AUTO
]]/-tblDonnées[[#This Row],[MONTANT AUTO]]</f>
        <v>#VALUE!</v>
      </c>
      <c r="T182" s="17">
        <f>IF(tblDonnées[[#This Row],[0,5% du dép]]&lt;5000,5000,IF(tblDonnées[[#This Row],[0,5% du dép]]&gt;50000,50000,tblDonnées[[#This Row],[0,5% du dép]]))</f>
        <v>5000</v>
      </c>
      <c r="U182" s="10">
        <f>ABS(tblDonnées[[#This Row],[MONTANT DEPASSEMENT]]*0.005)</f>
        <v>0</v>
      </c>
      <c r="Z182" s="33"/>
    </row>
    <row r="183" spans="1:26" x14ac:dyDescent="0.25">
      <c r="A183" s="30"/>
      <c r="B183" s="12"/>
      <c r="D183" s="41"/>
      <c r="E183" s="41"/>
      <c r="F183" s="21"/>
      <c r="H183" s="21"/>
      <c r="J183" s="23"/>
      <c r="M18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83" s="38">
        <f>tblDonnées[[#This Row],[MONTANT OPERATION]]+tblDonnées[[#This Row],[POS  FUSIONNEE CPTE AVANT OP]]</f>
        <v>0</v>
      </c>
      <c r="O183" s="17" t="str">
        <f>IF(ISBLANK(tblDonnées[[#This Row],[MONTANT AUTO]]), "N/A", ABS(tblDonnées[[#This Row],[POS  FUSIONNEE CPTE APRES OP]])-ABS(tblDonnées[[#This Row],[MONTANT AUTO]]))</f>
        <v>N/A</v>
      </c>
      <c r="P183" s="39" t="e">
        <f>tblDonnées[[#This Row],[DEPASSEMENT TOTAL SUR AUTO
]]/-tblDonnées[[#This Row],[MONTANT AUTO]]</f>
        <v>#VALUE!</v>
      </c>
      <c r="T183" s="17">
        <f>IF(tblDonnées[[#This Row],[0,5% du dép]]&lt;5000,5000,IF(tblDonnées[[#This Row],[0,5% du dép]]&gt;50000,50000,tblDonnées[[#This Row],[0,5% du dép]]))</f>
        <v>5000</v>
      </c>
      <c r="U183" s="10">
        <f>ABS(tblDonnées[[#This Row],[MONTANT DEPASSEMENT]]*0.005)</f>
        <v>0</v>
      </c>
      <c r="Z183" s="33"/>
    </row>
    <row r="184" spans="1:26" x14ac:dyDescent="0.25">
      <c r="A184" s="30"/>
      <c r="B184" s="12"/>
      <c r="D184" s="41"/>
      <c r="H184" s="21"/>
      <c r="J184" s="23"/>
      <c r="M18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84" s="38">
        <f>tblDonnées[[#This Row],[MONTANT OPERATION]]+tblDonnées[[#This Row],[POS  FUSIONNEE CPTE AVANT OP]]</f>
        <v>0</v>
      </c>
      <c r="O184" s="17" t="str">
        <f>IF(ISBLANK(tblDonnées[[#This Row],[MONTANT AUTO]]), "N/A", ABS(tblDonnées[[#This Row],[POS  FUSIONNEE CPTE APRES OP]])-ABS(tblDonnées[[#This Row],[MONTANT AUTO]]))</f>
        <v>N/A</v>
      </c>
      <c r="P184" s="39" t="e">
        <f>tblDonnées[[#This Row],[DEPASSEMENT TOTAL SUR AUTO
]]/-tblDonnées[[#This Row],[MONTANT AUTO]]</f>
        <v>#VALUE!</v>
      </c>
      <c r="T184" s="17">
        <f>IF(tblDonnées[[#This Row],[0,5% du dép]]&lt;5000,5000,IF(tblDonnées[[#This Row],[0,5% du dép]]&gt;50000,50000,tblDonnées[[#This Row],[0,5% du dép]]))</f>
        <v>5000</v>
      </c>
      <c r="U184" s="10">
        <f>ABS(tblDonnées[[#This Row],[MONTANT DEPASSEMENT]]*0.005)</f>
        <v>0</v>
      </c>
      <c r="Z184" s="33"/>
    </row>
    <row r="185" spans="1:26" x14ac:dyDescent="0.25">
      <c r="A185" s="30"/>
      <c r="B185" s="12"/>
      <c r="D185" s="41"/>
      <c r="H185" s="21"/>
      <c r="J185" s="23"/>
      <c r="M18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85" s="38">
        <f>tblDonnées[[#This Row],[MONTANT OPERATION]]+tblDonnées[[#This Row],[POS  FUSIONNEE CPTE AVANT OP]]</f>
        <v>0</v>
      </c>
      <c r="O185" s="17" t="str">
        <f>IF(ISBLANK(tblDonnées[[#This Row],[MONTANT AUTO]]), "N/A", ABS(tblDonnées[[#This Row],[POS  FUSIONNEE CPTE APRES OP]])-ABS(tblDonnées[[#This Row],[MONTANT AUTO]]))</f>
        <v>N/A</v>
      </c>
      <c r="P185" s="39" t="e">
        <f>tblDonnées[[#This Row],[DEPASSEMENT TOTAL SUR AUTO
]]/-tblDonnées[[#This Row],[MONTANT AUTO]]</f>
        <v>#VALUE!</v>
      </c>
      <c r="T185" s="17">
        <f>IF(tblDonnées[[#This Row],[0,5% du dép]]&lt;5000,5000,IF(tblDonnées[[#This Row],[0,5% du dép]]&gt;50000,50000,tblDonnées[[#This Row],[0,5% du dép]]))</f>
        <v>5000</v>
      </c>
      <c r="U185" s="10">
        <f>ABS(tblDonnées[[#This Row],[MONTANT DEPASSEMENT]]*0.005)</f>
        <v>0</v>
      </c>
      <c r="Z185" s="33"/>
    </row>
    <row r="186" spans="1:26" x14ac:dyDescent="0.25">
      <c r="A186" s="30"/>
      <c r="B186" s="12"/>
      <c r="D186" s="41"/>
      <c r="E186" s="21"/>
      <c r="F186" s="21"/>
      <c r="H186" s="21"/>
      <c r="J186" s="23"/>
      <c r="M18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86" s="38">
        <f>tblDonnées[[#This Row],[MONTANT OPERATION]]+tblDonnées[[#This Row],[POS  FUSIONNEE CPTE AVANT OP]]</f>
        <v>0</v>
      </c>
      <c r="O186" s="17" t="str">
        <f>IF(ISBLANK(tblDonnées[[#This Row],[MONTANT AUTO]]), "N/A", ABS(tblDonnées[[#This Row],[POS  FUSIONNEE CPTE APRES OP]])-ABS(tblDonnées[[#This Row],[MONTANT AUTO]]))</f>
        <v>N/A</v>
      </c>
      <c r="P186" s="39" t="e">
        <f>tblDonnées[[#This Row],[DEPASSEMENT TOTAL SUR AUTO
]]/-tblDonnées[[#This Row],[MONTANT AUTO]]</f>
        <v>#VALUE!</v>
      </c>
      <c r="T186" s="17">
        <f>IF(tblDonnées[[#This Row],[0,5% du dép]]&lt;5000,5000,IF(tblDonnées[[#This Row],[0,5% du dép]]&gt;50000,50000,tblDonnées[[#This Row],[0,5% du dép]]))</f>
        <v>5000</v>
      </c>
      <c r="U186" s="10">
        <f>ABS(tblDonnées[[#This Row],[MONTANT DEPASSEMENT]]*0.005)</f>
        <v>0</v>
      </c>
      <c r="Z186" s="33"/>
    </row>
    <row r="187" spans="1:26" x14ac:dyDescent="0.25">
      <c r="A187" s="30"/>
      <c r="B187" s="12"/>
      <c r="D187" s="41"/>
      <c r="H187" s="21"/>
      <c r="J187" s="23"/>
      <c r="M18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87" s="38">
        <f>tblDonnées[[#This Row],[MONTANT OPERATION]]+tblDonnées[[#This Row],[POS  FUSIONNEE CPTE AVANT OP]]</f>
        <v>0</v>
      </c>
      <c r="O187" s="17" t="str">
        <f>IF(ISBLANK(tblDonnées[[#This Row],[MONTANT AUTO]]), "N/A", ABS(tblDonnées[[#This Row],[POS  FUSIONNEE CPTE APRES OP]])-ABS(tblDonnées[[#This Row],[MONTANT AUTO]]))</f>
        <v>N/A</v>
      </c>
      <c r="P187" s="39" t="e">
        <f>tblDonnées[[#This Row],[DEPASSEMENT TOTAL SUR AUTO
]]/-tblDonnées[[#This Row],[MONTANT AUTO]]</f>
        <v>#VALUE!</v>
      </c>
      <c r="T187" s="17">
        <f>IF(tblDonnées[[#This Row],[0,5% du dép]]&lt;5000,5000,IF(tblDonnées[[#This Row],[0,5% du dép]]&gt;50000,50000,tblDonnées[[#This Row],[0,5% du dép]]))</f>
        <v>5000</v>
      </c>
      <c r="U187" s="10">
        <f>ABS(tblDonnées[[#This Row],[MONTANT DEPASSEMENT]]*0.005)</f>
        <v>0</v>
      </c>
      <c r="Z187" s="33"/>
    </row>
    <row r="188" spans="1:26" x14ac:dyDescent="0.25">
      <c r="A188" s="30"/>
      <c r="B188" s="12"/>
      <c r="D188" s="41"/>
      <c r="E188" s="21"/>
      <c r="F188" s="21"/>
      <c r="H188" s="21"/>
      <c r="J188" s="23"/>
      <c r="M18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88" s="38">
        <f>tblDonnées[[#This Row],[MONTANT OPERATION]]+tblDonnées[[#This Row],[POS  FUSIONNEE CPTE AVANT OP]]</f>
        <v>0</v>
      </c>
      <c r="O188" s="17" t="str">
        <f>IF(ISBLANK(tblDonnées[[#This Row],[MONTANT AUTO]]), "N/A", ABS(tblDonnées[[#This Row],[POS  FUSIONNEE CPTE APRES OP]])-ABS(tblDonnées[[#This Row],[MONTANT AUTO]]))</f>
        <v>N/A</v>
      </c>
      <c r="P188" s="39" t="e">
        <f>tblDonnées[[#This Row],[DEPASSEMENT TOTAL SUR AUTO
]]/-tblDonnées[[#This Row],[MONTANT AUTO]]</f>
        <v>#VALUE!</v>
      </c>
      <c r="T188" s="17">
        <f>IF(tblDonnées[[#This Row],[0,5% du dép]]&lt;5000,5000,IF(tblDonnées[[#This Row],[0,5% du dép]]&gt;50000,50000,tblDonnées[[#This Row],[0,5% du dép]]))</f>
        <v>5000</v>
      </c>
      <c r="U188" s="10">
        <f>ABS(tblDonnées[[#This Row],[MONTANT DEPASSEMENT]]*0.005)</f>
        <v>0</v>
      </c>
      <c r="Z188" s="33"/>
    </row>
    <row r="189" spans="1:26" x14ac:dyDescent="0.25">
      <c r="A189" s="30"/>
      <c r="B189" s="12"/>
      <c r="D189" s="41"/>
      <c r="E189" s="21"/>
      <c r="F189" s="21"/>
      <c r="H189" s="21"/>
      <c r="J189" s="23"/>
      <c r="M18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89" s="38">
        <f>tblDonnées[[#This Row],[MONTANT OPERATION]]+tblDonnées[[#This Row],[POS  FUSIONNEE CPTE AVANT OP]]</f>
        <v>0</v>
      </c>
      <c r="O189" s="17" t="str">
        <f>IF(ISBLANK(tblDonnées[[#This Row],[MONTANT AUTO]]), "N/A", ABS(tblDonnées[[#This Row],[POS  FUSIONNEE CPTE APRES OP]])-ABS(tblDonnées[[#This Row],[MONTANT AUTO]]))</f>
        <v>N/A</v>
      </c>
      <c r="P189" s="39" t="e">
        <f>tblDonnées[[#This Row],[DEPASSEMENT TOTAL SUR AUTO
]]/-tblDonnées[[#This Row],[MONTANT AUTO]]</f>
        <v>#VALUE!</v>
      </c>
      <c r="T189" s="17">
        <f>IF(tblDonnées[[#This Row],[0,5% du dép]]&lt;5000,5000,IF(tblDonnées[[#This Row],[0,5% du dép]]&gt;50000,50000,tblDonnées[[#This Row],[0,5% du dép]]))</f>
        <v>5000</v>
      </c>
      <c r="U189" s="10">
        <f>ABS(tblDonnées[[#This Row],[MONTANT DEPASSEMENT]]*0.005)</f>
        <v>0</v>
      </c>
      <c r="Z189" s="33"/>
    </row>
    <row r="190" spans="1:26" x14ac:dyDescent="0.25">
      <c r="A190" s="30"/>
      <c r="B190" s="12"/>
      <c r="D190" s="41"/>
      <c r="H190" s="21"/>
      <c r="J190" s="23"/>
      <c r="M19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90" s="38">
        <f>tblDonnées[[#This Row],[MONTANT OPERATION]]+tblDonnées[[#This Row],[POS  FUSIONNEE CPTE AVANT OP]]</f>
        <v>0</v>
      </c>
      <c r="O190" s="17" t="str">
        <f>IF(ISBLANK(tblDonnées[[#This Row],[MONTANT AUTO]]), "N/A", ABS(tblDonnées[[#This Row],[POS  FUSIONNEE CPTE APRES OP]])-ABS(tblDonnées[[#This Row],[MONTANT AUTO]]))</f>
        <v>N/A</v>
      </c>
      <c r="P190" s="39" t="e">
        <f>tblDonnées[[#This Row],[DEPASSEMENT TOTAL SUR AUTO
]]/-tblDonnées[[#This Row],[MONTANT AUTO]]</f>
        <v>#VALUE!</v>
      </c>
      <c r="T190" s="17">
        <f>IF(tblDonnées[[#This Row],[0,5% du dép]]&lt;5000,5000,IF(tblDonnées[[#This Row],[0,5% du dép]]&gt;50000,50000,tblDonnées[[#This Row],[0,5% du dép]]))</f>
        <v>5000</v>
      </c>
      <c r="U190" s="10">
        <f>ABS(tblDonnées[[#This Row],[MONTANT DEPASSEMENT]]*0.005)</f>
        <v>0</v>
      </c>
      <c r="Z190" s="33"/>
    </row>
    <row r="191" spans="1:26" x14ac:dyDescent="0.25">
      <c r="A191" s="30"/>
      <c r="B191" s="12"/>
      <c r="D191" s="41"/>
      <c r="H191" s="21"/>
      <c r="J191" s="23"/>
      <c r="M19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91" s="38">
        <f>tblDonnées[[#This Row],[MONTANT OPERATION]]+tblDonnées[[#This Row],[POS  FUSIONNEE CPTE AVANT OP]]</f>
        <v>0</v>
      </c>
      <c r="O191" s="17" t="str">
        <f>IF(ISBLANK(tblDonnées[[#This Row],[MONTANT AUTO]]), "N/A", ABS(tblDonnées[[#This Row],[POS  FUSIONNEE CPTE APRES OP]])-ABS(tblDonnées[[#This Row],[MONTANT AUTO]]))</f>
        <v>N/A</v>
      </c>
      <c r="P191" s="39" t="e">
        <f>tblDonnées[[#This Row],[DEPASSEMENT TOTAL SUR AUTO
]]/-tblDonnées[[#This Row],[MONTANT AUTO]]</f>
        <v>#VALUE!</v>
      </c>
      <c r="T191" s="17">
        <f>IF(tblDonnées[[#This Row],[0,5% du dép]]&lt;5000,5000,IF(tblDonnées[[#This Row],[0,5% du dép]]&gt;50000,50000,tblDonnées[[#This Row],[0,5% du dép]]))</f>
        <v>5000</v>
      </c>
      <c r="U191" s="10">
        <f>ABS(tblDonnées[[#This Row],[MONTANT DEPASSEMENT]]*0.005)</f>
        <v>0</v>
      </c>
      <c r="Z191" s="33"/>
    </row>
    <row r="192" spans="1:26" x14ac:dyDescent="0.25">
      <c r="A192" s="30"/>
      <c r="B192" s="12"/>
      <c r="D192" s="41"/>
      <c r="E192" s="21"/>
      <c r="F192" s="21"/>
      <c r="H192" s="21"/>
      <c r="J192" s="23"/>
      <c r="M19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92" s="38">
        <f>tblDonnées[[#This Row],[MONTANT OPERATION]]+tblDonnées[[#This Row],[POS  FUSIONNEE CPTE AVANT OP]]</f>
        <v>0</v>
      </c>
      <c r="O192" s="17" t="str">
        <f>IF(ISBLANK(tblDonnées[[#This Row],[MONTANT AUTO]]), "N/A", ABS(tblDonnées[[#This Row],[POS  FUSIONNEE CPTE APRES OP]])-ABS(tblDonnées[[#This Row],[MONTANT AUTO]]))</f>
        <v>N/A</v>
      </c>
      <c r="P192" s="39" t="e">
        <f>tblDonnées[[#This Row],[DEPASSEMENT TOTAL SUR AUTO
]]/-tblDonnées[[#This Row],[MONTANT AUTO]]</f>
        <v>#VALUE!</v>
      </c>
      <c r="T192" s="17">
        <f>IF(tblDonnées[[#This Row],[0,5% du dép]]&lt;5000,5000,IF(tblDonnées[[#This Row],[0,5% du dép]]&gt;50000,50000,tblDonnées[[#This Row],[0,5% du dép]]))</f>
        <v>5000</v>
      </c>
      <c r="U192" s="10">
        <f>ABS(tblDonnées[[#This Row],[MONTANT DEPASSEMENT]]*0.005)</f>
        <v>0</v>
      </c>
      <c r="Z192" s="33"/>
    </row>
    <row r="193" spans="1:26" x14ac:dyDescent="0.25">
      <c r="A193" s="30"/>
      <c r="B193" s="12"/>
      <c r="D193" s="41"/>
      <c r="H193" s="21"/>
      <c r="J193" s="23"/>
      <c r="M19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93" s="38">
        <f>tblDonnées[[#This Row],[MONTANT OPERATION]]+tblDonnées[[#This Row],[POS  FUSIONNEE CPTE AVANT OP]]</f>
        <v>0</v>
      </c>
      <c r="O193" s="17" t="str">
        <f>IF(ISBLANK(tblDonnées[[#This Row],[MONTANT AUTO]]), "N/A", ABS(tblDonnées[[#This Row],[POS  FUSIONNEE CPTE APRES OP]])-ABS(tblDonnées[[#This Row],[MONTANT AUTO]]))</f>
        <v>N/A</v>
      </c>
      <c r="P193" s="39" t="e">
        <f>tblDonnées[[#This Row],[DEPASSEMENT TOTAL SUR AUTO
]]/-tblDonnées[[#This Row],[MONTANT AUTO]]</f>
        <v>#VALUE!</v>
      </c>
      <c r="T193" s="17">
        <f>IF(tblDonnées[[#This Row],[0,5% du dép]]&lt;5000,5000,IF(tblDonnées[[#This Row],[0,5% du dép]]&gt;50000,50000,tblDonnées[[#This Row],[0,5% du dép]]))</f>
        <v>5000</v>
      </c>
      <c r="U193" s="10">
        <f>ABS(tblDonnées[[#This Row],[MONTANT DEPASSEMENT]]*0.005)</f>
        <v>0</v>
      </c>
      <c r="Z193" s="33"/>
    </row>
    <row r="194" spans="1:26" x14ac:dyDescent="0.25">
      <c r="A194" s="30"/>
      <c r="B194" s="12"/>
      <c r="D194" s="41"/>
      <c r="H194" s="21"/>
      <c r="J194" s="23"/>
      <c r="M19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94" s="38">
        <f>tblDonnées[[#This Row],[MONTANT OPERATION]]+tblDonnées[[#This Row],[POS  FUSIONNEE CPTE AVANT OP]]</f>
        <v>0</v>
      </c>
      <c r="O194" s="17" t="str">
        <f>IF(ISBLANK(tblDonnées[[#This Row],[MONTANT AUTO]]), "N/A", ABS(tblDonnées[[#This Row],[POS  FUSIONNEE CPTE APRES OP]])-ABS(tblDonnées[[#This Row],[MONTANT AUTO]]))</f>
        <v>N/A</v>
      </c>
      <c r="P194" s="39" t="e">
        <f>tblDonnées[[#This Row],[DEPASSEMENT TOTAL SUR AUTO
]]/-tblDonnées[[#This Row],[MONTANT AUTO]]</f>
        <v>#VALUE!</v>
      </c>
      <c r="T194" s="17">
        <f>IF(tblDonnées[[#This Row],[0,5% du dép]]&lt;5000,5000,IF(tblDonnées[[#This Row],[0,5% du dép]]&gt;50000,50000,tblDonnées[[#This Row],[0,5% du dép]]))</f>
        <v>5000</v>
      </c>
      <c r="U194" s="10">
        <f>ABS(tblDonnées[[#This Row],[MONTANT DEPASSEMENT]]*0.005)</f>
        <v>0</v>
      </c>
      <c r="Z194" s="33"/>
    </row>
    <row r="195" spans="1:26" x14ac:dyDescent="0.25">
      <c r="A195" s="33"/>
      <c r="B195" s="12"/>
      <c r="C195" s="33"/>
      <c r="D195" s="41"/>
      <c r="H195" s="21"/>
      <c r="I195" s="33"/>
      <c r="J195" s="35"/>
      <c r="K195" s="36"/>
      <c r="L195" s="37"/>
      <c r="M19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95" s="38">
        <f>tblDonnées[[#This Row],[MONTANT OPERATION]]+tblDonnées[[#This Row],[POS  FUSIONNEE CPTE AVANT OP]]</f>
        <v>0</v>
      </c>
      <c r="O195" s="17" t="str">
        <f>IF(ISBLANK(tblDonnées[[#This Row],[MONTANT AUTO]]), "N/A", ABS(tblDonnées[[#This Row],[POS  FUSIONNEE CPTE APRES OP]])-ABS(tblDonnées[[#This Row],[MONTANT AUTO]]))</f>
        <v>N/A</v>
      </c>
      <c r="P195" s="39" t="e">
        <f>tblDonnées[[#This Row],[DEPASSEMENT TOTAL SUR AUTO
]]/-tblDonnées[[#This Row],[MONTANT AUTO]]</f>
        <v>#VALUE!</v>
      </c>
      <c r="Q195" s="33"/>
      <c r="R195" s="33"/>
      <c r="S195" s="33"/>
      <c r="T195" s="17">
        <f>IF(tblDonnées[[#This Row],[0,5% du dép]]&lt;5000,5000,IF(tblDonnées[[#This Row],[0,5% du dép]]&gt;50000,50000,tblDonnées[[#This Row],[0,5% du dép]]))</f>
        <v>5000</v>
      </c>
      <c r="U195" s="10">
        <f>ABS(tblDonnées[[#This Row],[MONTANT DEPASSEMENT]]*0.005)</f>
        <v>0</v>
      </c>
      <c r="V195" s="33"/>
      <c r="W195" s="33"/>
      <c r="X195" s="33"/>
      <c r="Y195" s="33"/>
      <c r="Z195" s="33"/>
    </row>
    <row r="196" spans="1:26" x14ac:dyDescent="0.25">
      <c r="A196" s="33"/>
      <c r="B196" s="12"/>
      <c r="C196" s="33"/>
      <c r="D196" s="41"/>
      <c r="H196" s="21"/>
      <c r="I196" s="33"/>
      <c r="J196" s="35"/>
      <c r="K196" s="36"/>
      <c r="L196" s="37"/>
      <c r="M19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96" s="38">
        <f>tblDonnées[[#This Row],[MONTANT OPERATION]]+tblDonnées[[#This Row],[POS  FUSIONNEE CPTE AVANT OP]]</f>
        <v>0</v>
      </c>
      <c r="O196" s="17" t="str">
        <f>IF(ISBLANK(tblDonnées[[#This Row],[MONTANT AUTO]]), "N/A", ABS(tblDonnées[[#This Row],[POS  FUSIONNEE CPTE APRES OP]])-ABS(tblDonnées[[#This Row],[MONTANT AUTO]]))</f>
        <v>N/A</v>
      </c>
      <c r="P196" s="39" t="e">
        <f>tblDonnées[[#This Row],[DEPASSEMENT TOTAL SUR AUTO
]]/-tblDonnées[[#This Row],[MONTANT AUTO]]</f>
        <v>#VALUE!</v>
      </c>
      <c r="Q196" s="33"/>
      <c r="R196" s="33"/>
      <c r="S196" s="33"/>
      <c r="T196" s="17">
        <f>IF(tblDonnées[[#This Row],[0,5% du dép]]&lt;5000,5000,IF(tblDonnées[[#This Row],[0,5% du dép]]&gt;50000,50000,tblDonnées[[#This Row],[0,5% du dép]]))</f>
        <v>5000</v>
      </c>
      <c r="U196" s="10">
        <f>ABS(tblDonnées[[#This Row],[MONTANT DEPASSEMENT]]*0.005)</f>
        <v>0</v>
      </c>
      <c r="V196" s="33"/>
      <c r="W196" s="33"/>
      <c r="X196" s="33"/>
      <c r="Y196" s="33"/>
      <c r="Z196" s="33"/>
    </row>
    <row r="197" spans="1:26" x14ac:dyDescent="0.25">
      <c r="A197" s="33"/>
      <c r="B197" s="12"/>
      <c r="C197" s="33"/>
      <c r="D197" s="41"/>
      <c r="H197" s="21"/>
      <c r="I197" s="33"/>
      <c r="J197" s="42"/>
      <c r="K197" s="43"/>
      <c r="L197" s="44"/>
      <c r="M19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97" s="38">
        <f>tblDonnées[[#This Row],[MONTANT OPERATION]]+tblDonnées[[#This Row],[POS  FUSIONNEE CPTE AVANT OP]]</f>
        <v>0</v>
      </c>
      <c r="O197" s="17" t="str">
        <f>IF(ISBLANK(tblDonnées[[#This Row],[MONTANT AUTO]]), "N/A", ABS(tblDonnées[[#This Row],[POS  FUSIONNEE CPTE APRES OP]])-ABS(tblDonnées[[#This Row],[MONTANT AUTO]]))</f>
        <v>N/A</v>
      </c>
      <c r="P197" s="39" t="e">
        <f>tblDonnées[[#This Row],[DEPASSEMENT TOTAL SUR AUTO
]]/-tblDonnées[[#This Row],[MONTANT AUTO]]</f>
        <v>#VALUE!</v>
      </c>
      <c r="Q197" s="33"/>
      <c r="R197" s="33"/>
      <c r="S197" s="33"/>
      <c r="T197" s="40">
        <f>IF(tblDonnées[[#This Row],[0,5% du dép]]&lt;5000,5000,IF(tblDonnées[[#This Row],[0,5% du dép]]&gt;50000,50000,tblDonnées[[#This Row],[0,5% du dép]]))</f>
        <v>5000</v>
      </c>
      <c r="U197" s="10">
        <f>ABS(tblDonnées[[#This Row],[MONTANT DEPASSEMENT]]*0.005)</f>
        <v>0</v>
      </c>
      <c r="V197" s="33"/>
      <c r="W197" s="33"/>
      <c r="X197" s="33"/>
      <c r="Y197" s="33"/>
      <c r="Z197" s="33"/>
    </row>
    <row r="198" spans="1:26" x14ac:dyDescent="0.25">
      <c r="A198" s="33"/>
      <c r="B198" s="12"/>
      <c r="C198" s="33"/>
      <c r="D198" s="41"/>
      <c r="H198" s="21"/>
      <c r="I198" s="33"/>
      <c r="J198" s="42"/>
      <c r="K198" s="43"/>
      <c r="L198" s="44"/>
      <c r="M19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98" s="38">
        <f>tblDonnées[[#This Row],[MONTANT OPERATION]]+tblDonnées[[#This Row],[POS  FUSIONNEE CPTE AVANT OP]]</f>
        <v>0</v>
      </c>
      <c r="O198" s="17" t="str">
        <f>IF(ISBLANK(tblDonnées[[#This Row],[MONTANT AUTO]]), "N/A", ABS(tblDonnées[[#This Row],[POS  FUSIONNEE CPTE APRES OP]])-ABS(tblDonnées[[#This Row],[MONTANT AUTO]]))</f>
        <v>N/A</v>
      </c>
      <c r="P198" s="39" t="e">
        <f>tblDonnées[[#This Row],[DEPASSEMENT TOTAL SUR AUTO
]]/-tblDonnées[[#This Row],[MONTANT AUTO]]</f>
        <v>#VALUE!</v>
      </c>
      <c r="Q198" s="33"/>
      <c r="R198" s="33"/>
      <c r="S198" s="33"/>
      <c r="T198" s="40">
        <f>IF(tblDonnées[[#This Row],[0,5% du dép]]&lt;5000,5000,IF(tblDonnées[[#This Row],[0,5% du dép]]&gt;50000,50000,tblDonnées[[#This Row],[0,5% du dép]]))</f>
        <v>5000</v>
      </c>
      <c r="U198" s="10">
        <f>ABS(tblDonnées[[#This Row],[MONTANT DEPASSEMENT]]*0.005)</f>
        <v>0</v>
      </c>
      <c r="V198" s="33"/>
      <c r="W198" s="33"/>
      <c r="X198" s="33"/>
      <c r="Y198" s="33"/>
      <c r="Z198" s="33"/>
    </row>
    <row r="199" spans="1:26" x14ac:dyDescent="0.25">
      <c r="A199" s="33"/>
      <c r="B199" s="12"/>
      <c r="C199" s="33"/>
      <c r="D199" s="41"/>
      <c r="H199" s="21"/>
      <c r="I199" s="33"/>
      <c r="J199" s="42"/>
      <c r="K199" s="43"/>
      <c r="L199" s="44"/>
      <c r="M19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199" s="38">
        <f>tblDonnées[[#This Row],[MONTANT OPERATION]]+tblDonnées[[#This Row],[POS  FUSIONNEE CPTE AVANT OP]]</f>
        <v>0</v>
      </c>
      <c r="O199" s="17" t="str">
        <f>IF(ISBLANK(tblDonnées[[#This Row],[MONTANT AUTO]]), "N/A", ABS(tblDonnées[[#This Row],[POS  FUSIONNEE CPTE APRES OP]])-ABS(tblDonnées[[#This Row],[MONTANT AUTO]]))</f>
        <v>N/A</v>
      </c>
      <c r="P199" s="39" t="e">
        <f>tblDonnées[[#This Row],[DEPASSEMENT TOTAL SUR AUTO
]]/-tblDonnées[[#This Row],[MONTANT AUTO]]</f>
        <v>#VALUE!</v>
      </c>
      <c r="Q199" s="33"/>
      <c r="R199" s="33"/>
      <c r="S199" s="33"/>
      <c r="T199" s="40">
        <f>IF(tblDonnées[[#This Row],[0,5% du dép]]&lt;5000,5000,IF(tblDonnées[[#This Row],[0,5% du dép]]&gt;50000,50000,tblDonnées[[#This Row],[0,5% du dép]]))</f>
        <v>5000</v>
      </c>
      <c r="U199" s="10">
        <f>ABS(tblDonnées[[#This Row],[MONTANT DEPASSEMENT]]*0.005)</f>
        <v>0</v>
      </c>
      <c r="V199" s="33"/>
      <c r="W199" s="33"/>
      <c r="X199" s="33"/>
      <c r="Y199" s="33"/>
      <c r="Z199" s="33"/>
    </row>
    <row r="200" spans="1:26" x14ac:dyDescent="0.25">
      <c r="A200" s="33"/>
      <c r="B200" s="12"/>
      <c r="C200" s="33"/>
      <c r="D200" s="41"/>
      <c r="H200" s="21"/>
      <c r="I200" s="33"/>
      <c r="J200" s="42"/>
      <c r="K200" s="43"/>
      <c r="L200" s="44"/>
      <c r="M20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00" s="38">
        <f>tblDonnées[[#This Row],[MONTANT OPERATION]]+tblDonnées[[#This Row],[POS  FUSIONNEE CPTE AVANT OP]]</f>
        <v>0</v>
      </c>
      <c r="O200" s="17" t="str">
        <f>IF(ISBLANK(tblDonnées[[#This Row],[MONTANT AUTO]]), "N/A", ABS(tblDonnées[[#This Row],[POS  FUSIONNEE CPTE APRES OP]])-ABS(tblDonnées[[#This Row],[MONTANT AUTO]]))</f>
        <v>N/A</v>
      </c>
      <c r="P200" s="39" t="e">
        <f>tblDonnées[[#This Row],[DEPASSEMENT TOTAL SUR AUTO
]]/-tblDonnées[[#This Row],[MONTANT AUTO]]</f>
        <v>#VALUE!</v>
      </c>
      <c r="Q200" s="33"/>
      <c r="R200" s="33"/>
      <c r="S200" s="33"/>
      <c r="T200" s="40">
        <f>IF(tblDonnées[[#This Row],[0,5% du dép]]&lt;5000,5000,IF(tblDonnées[[#This Row],[0,5% du dép]]&gt;50000,50000,tblDonnées[[#This Row],[0,5% du dép]]))</f>
        <v>5000</v>
      </c>
      <c r="U200" s="10">
        <f>ABS(tblDonnées[[#This Row],[MONTANT DEPASSEMENT]]*0.005)</f>
        <v>0</v>
      </c>
      <c r="V200" s="33"/>
      <c r="W200" s="33"/>
      <c r="X200" s="33"/>
      <c r="Y200" s="33"/>
      <c r="Z200" s="33"/>
    </row>
    <row r="201" spans="1:26" x14ac:dyDescent="0.25">
      <c r="A201" s="33"/>
      <c r="B201" s="12"/>
      <c r="C201" s="33"/>
      <c r="D201" s="41"/>
      <c r="E201" s="21"/>
      <c r="F201" s="21"/>
      <c r="H201" s="21"/>
      <c r="I201" s="33"/>
      <c r="J201" s="42"/>
      <c r="K201" s="43"/>
      <c r="L201" s="44"/>
      <c r="M20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01" s="38">
        <f>tblDonnées[[#This Row],[MONTANT OPERATION]]+tblDonnées[[#This Row],[POS  FUSIONNEE CPTE AVANT OP]]</f>
        <v>0</v>
      </c>
      <c r="O201" s="17" t="str">
        <f>IF(ISBLANK(tblDonnées[[#This Row],[MONTANT AUTO]]), "N/A", ABS(tblDonnées[[#This Row],[POS  FUSIONNEE CPTE APRES OP]])-ABS(tblDonnées[[#This Row],[MONTANT AUTO]]))</f>
        <v>N/A</v>
      </c>
      <c r="P201" s="39" t="e">
        <f>tblDonnées[[#This Row],[DEPASSEMENT TOTAL SUR AUTO
]]/-tblDonnées[[#This Row],[MONTANT AUTO]]</f>
        <v>#VALUE!</v>
      </c>
      <c r="Q201" s="33"/>
      <c r="R201" s="33"/>
      <c r="S201" s="33"/>
      <c r="T201" s="40">
        <f>IF(tblDonnées[[#This Row],[0,5% du dép]]&lt;5000,5000,IF(tblDonnées[[#This Row],[0,5% du dép]]&gt;50000,50000,tblDonnées[[#This Row],[0,5% du dép]]))</f>
        <v>5000</v>
      </c>
      <c r="U201" s="10">
        <f>ABS(tblDonnées[[#This Row],[MONTANT DEPASSEMENT]]*0.005)</f>
        <v>0</v>
      </c>
      <c r="V201" s="33"/>
      <c r="W201" s="33"/>
      <c r="X201" s="33"/>
      <c r="Y201" s="33"/>
      <c r="Z201" s="33"/>
    </row>
    <row r="202" spans="1:26" x14ac:dyDescent="0.25">
      <c r="A202" s="33"/>
      <c r="B202" s="12"/>
      <c r="C202" s="33"/>
      <c r="D202" s="41"/>
      <c r="H202" s="21"/>
      <c r="I202" s="33"/>
      <c r="J202" s="42"/>
      <c r="K202" s="43"/>
      <c r="L202" s="44"/>
      <c r="M20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02" s="38">
        <f>tblDonnées[[#This Row],[MONTANT OPERATION]]+tblDonnées[[#This Row],[POS  FUSIONNEE CPTE AVANT OP]]</f>
        <v>0</v>
      </c>
      <c r="O202" s="17" t="str">
        <f>IF(ISBLANK(tblDonnées[[#This Row],[MONTANT AUTO]]), "N/A", ABS(tblDonnées[[#This Row],[POS  FUSIONNEE CPTE APRES OP]])-ABS(tblDonnées[[#This Row],[MONTANT AUTO]]))</f>
        <v>N/A</v>
      </c>
      <c r="P202" s="39" t="e">
        <f>tblDonnées[[#This Row],[DEPASSEMENT TOTAL SUR AUTO
]]/-tblDonnées[[#This Row],[MONTANT AUTO]]</f>
        <v>#VALUE!</v>
      </c>
      <c r="Q202" s="33"/>
      <c r="R202" s="33"/>
      <c r="S202" s="33"/>
      <c r="T202" s="40">
        <f>IF(tblDonnées[[#This Row],[0,5% du dép]]&lt;5000,5000,IF(tblDonnées[[#This Row],[0,5% du dép]]&gt;50000,50000,tblDonnées[[#This Row],[0,5% du dép]]))</f>
        <v>5000</v>
      </c>
      <c r="U202" s="10">
        <f>ABS(tblDonnées[[#This Row],[MONTANT DEPASSEMENT]]*0.005)</f>
        <v>0</v>
      </c>
      <c r="V202" s="33"/>
      <c r="W202" s="33"/>
      <c r="X202" s="33"/>
      <c r="Y202" s="33"/>
      <c r="Z202" s="33"/>
    </row>
    <row r="203" spans="1:26" x14ac:dyDescent="0.25">
      <c r="A203" s="33"/>
      <c r="B203" s="12"/>
      <c r="C203" s="33"/>
      <c r="D203" s="41"/>
      <c r="H203" s="21"/>
      <c r="I203" s="33"/>
      <c r="J203" s="42"/>
      <c r="K203" s="43"/>
      <c r="L203" s="44"/>
      <c r="M20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03" s="38">
        <f>tblDonnées[[#This Row],[MONTANT OPERATION]]+tblDonnées[[#This Row],[POS  FUSIONNEE CPTE AVANT OP]]</f>
        <v>0</v>
      </c>
      <c r="O203" s="17" t="str">
        <f>IF(ISBLANK(tblDonnées[[#This Row],[MONTANT AUTO]]), "N/A", ABS(tblDonnées[[#This Row],[POS  FUSIONNEE CPTE APRES OP]])-ABS(tblDonnées[[#This Row],[MONTANT AUTO]]))</f>
        <v>N/A</v>
      </c>
      <c r="P203" s="39" t="e">
        <f>tblDonnées[[#This Row],[DEPASSEMENT TOTAL SUR AUTO
]]/-tblDonnées[[#This Row],[MONTANT AUTO]]</f>
        <v>#VALUE!</v>
      </c>
      <c r="Q203" s="33"/>
      <c r="R203" s="33"/>
      <c r="S203" s="33"/>
      <c r="T203" s="40">
        <f>IF(tblDonnées[[#This Row],[0,5% du dép]]&lt;5000,5000,IF(tblDonnées[[#This Row],[0,5% du dép]]&gt;50000,50000,tblDonnées[[#This Row],[0,5% du dép]]))</f>
        <v>5000</v>
      </c>
      <c r="U203" s="10">
        <f>ABS(tblDonnées[[#This Row],[MONTANT DEPASSEMENT]]*0.005)</f>
        <v>0</v>
      </c>
      <c r="V203" s="33"/>
      <c r="W203" s="33"/>
      <c r="X203" s="33"/>
      <c r="Y203" s="33"/>
      <c r="Z203" s="33"/>
    </row>
    <row r="204" spans="1:26" x14ac:dyDescent="0.25">
      <c r="A204" s="33"/>
      <c r="B204" s="12"/>
      <c r="C204" s="33"/>
      <c r="D204" s="41"/>
      <c r="H204" s="21"/>
      <c r="I204" s="33"/>
      <c r="J204" s="42"/>
      <c r="K204" s="43"/>
      <c r="L204" s="44"/>
      <c r="M20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04" s="38">
        <f>tblDonnées[[#This Row],[MONTANT OPERATION]]+tblDonnées[[#This Row],[POS  FUSIONNEE CPTE AVANT OP]]</f>
        <v>0</v>
      </c>
      <c r="O204" s="17" t="str">
        <f>IF(ISBLANK(tblDonnées[[#This Row],[MONTANT AUTO]]), "N/A", ABS(tblDonnées[[#This Row],[POS  FUSIONNEE CPTE APRES OP]])-ABS(tblDonnées[[#This Row],[MONTANT AUTO]]))</f>
        <v>N/A</v>
      </c>
      <c r="P204" s="39" t="e">
        <f>tblDonnées[[#This Row],[DEPASSEMENT TOTAL SUR AUTO
]]/-tblDonnées[[#This Row],[MONTANT AUTO]]</f>
        <v>#VALUE!</v>
      </c>
      <c r="Q204" s="33"/>
      <c r="R204" s="33"/>
      <c r="S204" s="33"/>
      <c r="T204" s="40">
        <f>IF(tblDonnées[[#This Row],[0,5% du dép]]&lt;5000,5000,IF(tblDonnées[[#This Row],[0,5% du dép]]&gt;50000,50000,tblDonnées[[#This Row],[0,5% du dép]]))</f>
        <v>5000</v>
      </c>
      <c r="U204" s="10">
        <f>ABS(tblDonnées[[#This Row],[MONTANT DEPASSEMENT]]*0.005)</f>
        <v>0</v>
      </c>
      <c r="V204" s="33"/>
      <c r="W204" s="33"/>
      <c r="X204" s="33"/>
      <c r="Y204" s="33"/>
      <c r="Z204" s="33"/>
    </row>
    <row r="205" spans="1:26" x14ac:dyDescent="0.25">
      <c r="A205" s="33"/>
      <c r="B205" s="12"/>
      <c r="C205" s="33"/>
      <c r="D205" s="41"/>
      <c r="H205" s="21"/>
      <c r="I205" s="33"/>
      <c r="J205" s="42"/>
      <c r="K205" s="43"/>
      <c r="L205" s="44"/>
      <c r="M20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05" s="38">
        <f>tblDonnées[[#This Row],[MONTANT OPERATION]]+tblDonnées[[#This Row],[POS  FUSIONNEE CPTE AVANT OP]]</f>
        <v>0</v>
      </c>
      <c r="O205" s="17" t="str">
        <f>IF(ISBLANK(tblDonnées[[#This Row],[MONTANT AUTO]]), "N/A", ABS(tblDonnées[[#This Row],[POS  FUSIONNEE CPTE APRES OP]])-ABS(tblDonnées[[#This Row],[MONTANT AUTO]]))</f>
        <v>N/A</v>
      </c>
      <c r="P205" s="39" t="e">
        <f>tblDonnées[[#This Row],[DEPASSEMENT TOTAL SUR AUTO
]]/-tblDonnées[[#This Row],[MONTANT AUTO]]</f>
        <v>#VALUE!</v>
      </c>
      <c r="Q205" s="33"/>
      <c r="R205" s="33"/>
      <c r="S205" s="33"/>
      <c r="T205" s="40">
        <f>IF(tblDonnées[[#This Row],[0,5% du dép]]&lt;5000,5000,IF(tblDonnées[[#This Row],[0,5% du dép]]&gt;50000,50000,tblDonnées[[#This Row],[0,5% du dép]]))</f>
        <v>5000</v>
      </c>
      <c r="U205" s="10">
        <f>ABS(tblDonnées[[#This Row],[MONTANT DEPASSEMENT]]*0.005)</f>
        <v>0</v>
      </c>
      <c r="V205" s="33"/>
      <c r="W205" s="33"/>
      <c r="X205" s="33"/>
      <c r="Y205" s="33"/>
      <c r="Z205" s="33"/>
    </row>
    <row r="206" spans="1:26" x14ac:dyDescent="0.25">
      <c r="A206" s="33"/>
      <c r="B206" s="12"/>
      <c r="C206" s="33"/>
      <c r="D206" s="41"/>
      <c r="H206" s="21"/>
      <c r="I206" s="33"/>
      <c r="J206" s="42"/>
      <c r="K206" s="43"/>
      <c r="L206" s="44"/>
      <c r="M20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06" s="38">
        <f>tblDonnées[[#This Row],[MONTANT OPERATION]]+tblDonnées[[#This Row],[POS  FUSIONNEE CPTE AVANT OP]]</f>
        <v>0</v>
      </c>
      <c r="O206" s="17" t="str">
        <f>IF(ISBLANK(tblDonnées[[#This Row],[MONTANT AUTO]]), "N/A", ABS(tblDonnées[[#This Row],[POS  FUSIONNEE CPTE APRES OP]])-ABS(tblDonnées[[#This Row],[MONTANT AUTO]]))</f>
        <v>N/A</v>
      </c>
      <c r="P206" s="39" t="e">
        <f>tblDonnées[[#This Row],[DEPASSEMENT TOTAL SUR AUTO
]]/-tblDonnées[[#This Row],[MONTANT AUTO]]</f>
        <v>#VALUE!</v>
      </c>
      <c r="Q206" s="33"/>
      <c r="R206" s="33"/>
      <c r="S206" s="33"/>
      <c r="T206" s="40">
        <f>IF(tblDonnées[[#This Row],[0,5% du dép]]&lt;5000,5000,IF(tblDonnées[[#This Row],[0,5% du dép]]&gt;50000,50000,tblDonnées[[#This Row],[0,5% du dép]]))</f>
        <v>5000</v>
      </c>
      <c r="U206" s="10">
        <f>ABS(tblDonnées[[#This Row],[MONTANT DEPASSEMENT]]*0.005)</f>
        <v>0</v>
      </c>
      <c r="V206" s="33"/>
      <c r="W206" s="33"/>
      <c r="X206" s="33"/>
      <c r="Y206" s="33"/>
      <c r="Z206" s="33"/>
    </row>
    <row r="207" spans="1:26" x14ac:dyDescent="0.25">
      <c r="A207" s="33"/>
      <c r="B207" s="12"/>
      <c r="C207" s="33"/>
      <c r="D207" s="41"/>
      <c r="H207" s="21"/>
      <c r="I207" s="33"/>
      <c r="J207" s="42"/>
      <c r="K207" s="43"/>
      <c r="L207" s="44"/>
      <c r="M20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07" s="38">
        <f>tblDonnées[[#This Row],[MONTANT OPERATION]]+tblDonnées[[#This Row],[POS  FUSIONNEE CPTE AVANT OP]]</f>
        <v>0</v>
      </c>
      <c r="O207" s="17" t="str">
        <f>IF(ISBLANK(tblDonnées[[#This Row],[MONTANT AUTO]]), "N/A", ABS(tblDonnées[[#This Row],[POS  FUSIONNEE CPTE APRES OP]])-ABS(tblDonnées[[#This Row],[MONTANT AUTO]]))</f>
        <v>N/A</v>
      </c>
      <c r="P207" s="39" t="e">
        <f>tblDonnées[[#This Row],[DEPASSEMENT TOTAL SUR AUTO
]]/-tblDonnées[[#This Row],[MONTANT AUTO]]</f>
        <v>#VALUE!</v>
      </c>
      <c r="Q207" s="33"/>
      <c r="R207" s="33"/>
      <c r="S207" s="33"/>
      <c r="T207" s="40">
        <f>IF(tblDonnées[[#This Row],[0,5% du dép]]&lt;5000,5000,IF(tblDonnées[[#This Row],[0,5% du dép]]&gt;50000,50000,tblDonnées[[#This Row],[0,5% du dép]]))</f>
        <v>5000</v>
      </c>
      <c r="U207" s="10">
        <f>ABS(tblDonnées[[#This Row],[MONTANT DEPASSEMENT]]*0.005)</f>
        <v>0</v>
      </c>
      <c r="V207" s="33"/>
      <c r="W207" s="33"/>
      <c r="X207" s="33"/>
      <c r="Y207" s="33"/>
      <c r="Z207" s="33"/>
    </row>
    <row r="208" spans="1:26" x14ac:dyDescent="0.25">
      <c r="A208" s="33"/>
      <c r="B208" s="12"/>
      <c r="C208" s="33"/>
      <c r="D208" s="41"/>
      <c r="H208" s="21"/>
      <c r="I208" s="33"/>
      <c r="J208" s="42"/>
      <c r="K208" s="43"/>
      <c r="L208" s="44"/>
      <c r="M20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08" s="38">
        <f>tblDonnées[[#This Row],[MONTANT OPERATION]]+tblDonnées[[#This Row],[POS  FUSIONNEE CPTE AVANT OP]]</f>
        <v>0</v>
      </c>
      <c r="O208" s="17" t="str">
        <f>IF(ISBLANK(tblDonnées[[#This Row],[MONTANT AUTO]]), "N/A", ABS(tblDonnées[[#This Row],[POS  FUSIONNEE CPTE APRES OP]])-ABS(tblDonnées[[#This Row],[MONTANT AUTO]]))</f>
        <v>N/A</v>
      </c>
      <c r="P208" s="39" t="e">
        <f>tblDonnées[[#This Row],[DEPASSEMENT TOTAL SUR AUTO
]]/-tblDonnées[[#This Row],[MONTANT AUTO]]</f>
        <v>#VALUE!</v>
      </c>
      <c r="Q208" s="33"/>
      <c r="R208" s="33"/>
      <c r="S208" s="33"/>
      <c r="T208" s="40">
        <f>IF(tblDonnées[[#This Row],[0,5% du dép]]&lt;5000,5000,IF(tblDonnées[[#This Row],[0,5% du dép]]&gt;50000,50000,tblDonnées[[#This Row],[0,5% du dép]]))</f>
        <v>5000</v>
      </c>
      <c r="U208" s="10">
        <f>ABS(tblDonnées[[#This Row],[MONTANT DEPASSEMENT]]*0.005)</f>
        <v>0</v>
      </c>
      <c r="V208" s="33"/>
      <c r="W208" s="33"/>
      <c r="X208" s="33"/>
      <c r="Y208" s="33"/>
      <c r="Z208" s="33"/>
    </row>
    <row r="209" spans="1:26" x14ac:dyDescent="0.25">
      <c r="A209" s="33"/>
      <c r="B209" s="12"/>
      <c r="C209" s="33"/>
      <c r="D209" s="41"/>
      <c r="H209" s="21"/>
      <c r="I209" s="33"/>
      <c r="J209" s="42"/>
      <c r="K209" s="43"/>
      <c r="L209" s="44"/>
      <c r="M20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09" s="38">
        <f>tblDonnées[[#This Row],[MONTANT OPERATION]]+tblDonnées[[#This Row],[POS  FUSIONNEE CPTE AVANT OP]]</f>
        <v>0</v>
      </c>
      <c r="O209" s="17" t="str">
        <f>IF(ISBLANK(tblDonnées[[#This Row],[MONTANT AUTO]]), "N/A", ABS(tblDonnées[[#This Row],[POS  FUSIONNEE CPTE APRES OP]])-ABS(tblDonnées[[#This Row],[MONTANT AUTO]]))</f>
        <v>N/A</v>
      </c>
      <c r="P209" s="39" t="e">
        <f>tblDonnées[[#This Row],[DEPASSEMENT TOTAL SUR AUTO
]]/-tblDonnées[[#This Row],[MONTANT AUTO]]</f>
        <v>#VALUE!</v>
      </c>
      <c r="Q209" s="33"/>
      <c r="R209" s="33"/>
      <c r="S209" s="33"/>
      <c r="T209" s="40">
        <f>IF(tblDonnées[[#This Row],[0,5% du dép]]&lt;5000,5000,IF(tblDonnées[[#This Row],[0,5% du dép]]&gt;50000,50000,tblDonnées[[#This Row],[0,5% du dép]]))</f>
        <v>5000</v>
      </c>
      <c r="U209" s="10">
        <f>ABS(tblDonnées[[#This Row],[MONTANT DEPASSEMENT]]*0.005)</f>
        <v>0</v>
      </c>
      <c r="V209" s="33"/>
      <c r="W209" s="33"/>
      <c r="X209" s="33"/>
      <c r="Y209" s="33"/>
      <c r="Z209" s="33"/>
    </row>
    <row r="210" spans="1:26" x14ac:dyDescent="0.25">
      <c r="A210" s="33"/>
      <c r="B210" s="12"/>
      <c r="C210" s="33"/>
      <c r="D210" s="41"/>
      <c r="H210" s="21"/>
      <c r="I210" s="33"/>
      <c r="J210" s="42"/>
      <c r="K210" s="43"/>
      <c r="L210" s="44"/>
      <c r="M21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10" s="38">
        <f>tblDonnées[[#This Row],[MONTANT OPERATION]]+tblDonnées[[#This Row],[POS  FUSIONNEE CPTE AVANT OP]]</f>
        <v>0</v>
      </c>
      <c r="O210" s="17" t="str">
        <f>IF(ISBLANK(tblDonnées[[#This Row],[MONTANT AUTO]]), "N/A", ABS(tblDonnées[[#This Row],[POS  FUSIONNEE CPTE APRES OP]])-ABS(tblDonnées[[#This Row],[MONTANT AUTO]]))</f>
        <v>N/A</v>
      </c>
      <c r="P210" s="39" t="e">
        <f>tblDonnées[[#This Row],[DEPASSEMENT TOTAL SUR AUTO
]]/-tblDonnées[[#This Row],[MONTANT AUTO]]</f>
        <v>#VALUE!</v>
      </c>
      <c r="Q210" s="33"/>
      <c r="R210" s="33"/>
      <c r="S210" s="33"/>
      <c r="T210" s="40">
        <f>IF(tblDonnées[[#This Row],[0,5% du dép]]&lt;5000,5000,IF(tblDonnées[[#This Row],[0,5% du dép]]&gt;50000,50000,tblDonnées[[#This Row],[0,5% du dép]]))</f>
        <v>5000</v>
      </c>
      <c r="U210" s="10">
        <f>ABS(tblDonnées[[#This Row],[MONTANT DEPASSEMENT]]*0.005)</f>
        <v>0</v>
      </c>
      <c r="V210" s="33"/>
      <c r="W210" s="33"/>
      <c r="X210" s="33"/>
      <c r="Y210" s="33"/>
      <c r="Z210" s="33"/>
    </row>
    <row r="211" spans="1:26" x14ac:dyDescent="0.25">
      <c r="A211" s="33"/>
      <c r="B211" s="12"/>
      <c r="C211" s="33"/>
      <c r="D211" s="41"/>
      <c r="H211" s="21"/>
      <c r="I211" s="33"/>
      <c r="J211" s="42"/>
      <c r="K211" s="43"/>
      <c r="L211" s="44"/>
      <c r="M21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11" s="38">
        <f>tblDonnées[[#This Row],[MONTANT OPERATION]]+tblDonnées[[#This Row],[POS  FUSIONNEE CPTE AVANT OP]]</f>
        <v>0</v>
      </c>
      <c r="O211" s="17" t="str">
        <f>IF(ISBLANK(tblDonnées[[#This Row],[MONTANT AUTO]]), "N/A", ABS(tblDonnées[[#This Row],[POS  FUSIONNEE CPTE APRES OP]])-ABS(tblDonnées[[#This Row],[MONTANT AUTO]]))</f>
        <v>N/A</v>
      </c>
      <c r="P211" s="39" t="e">
        <f>tblDonnées[[#This Row],[DEPASSEMENT TOTAL SUR AUTO
]]/-tblDonnées[[#This Row],[MONTANT AUTO]]</f>
        <v>#VALUE!</v>
      </c>
      <c r="Q211" s="33"/>
      <c r="R211" s="33"/>
      <c r="S211" s="33"/>
      <c r="T211" s="40">
        <f>IF(tblDonnées[[#This Row],[0,5% du dép]]&lt;5000,5000,IF(tblDonnées[[#This Row],[0,5% du dép]]&gt;50000,50000,tblDonnées[[#This Row],[0,5% du dép]]))</f>
        <v>5000</v>
      </c>
      <c r="U211" s="10">
        <f>ABS(tblDonnées[[#This Row],[MONTANT DEPASSEMENT]]*0.005)</f>
        <v>0</v>
      </c>
      <c r="V211" s="33"/>
      <c r="W211" s="33"/>
      <c r="X211" s="33"/>
      <c r="Y211" s="33"/>
      <c r="Z211" s="33"/>
    </row>
    <row r="212" spans="1:26" x14ac:dyDescent="0.25">
      <c r="A212" s="33"/>
      <c r="B212" s="12"/>
      <c r="C212" s="33"/>
      <c r="D212" s="41"/>
      <c r="H212" s="21"/>
      <c r="I212" s="33"/>
      <c r="J212" s="42"/>
      <c r="K212" s="43"/>
      <c r="L212" s="44"/>
      <c r="M21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12" s="38">
        <f>tblDonnées[[#This Row],[MONTANT OPERATION]]+tblDonnées[[#This Row],[POS  FUSIONNEE CPTE AVANT OP]]</f>
        <v>0</v>
      </c>
      <c r="O212" s="17" t="str">
        <f>IF(ISBLANK(tblDonnées[[#This Row],[MONTANT AUTO]]), "N/A", ABS(tblDonnées[[#This Row],[POS  FUSIONNEE CPTE APRES OP]])-ABS(tblDonnées[[#This Row],[MONTANT AUTO]]))</f>
        <v>N/A</v>
      </c>
      <c r="P212" s="39" t="e">
        <f>tblDonnées[[#This Row],[DEPASSEMENT TOTAL SUR AUTO
]]/-tblDonnées[[#This Row],[MONTANT AUTO]]</f>
        <v>#VALUE!</v>
      </c>
      <c r="Q212" s="33"/>
      <c r="R212" s="33"/>
      <c r="S212" s="33"/>
      <c r="T212" s="40">
        <f>IF(tblDonnées[[#This Row],[0,5% du dép]]&lt;5000,5000,IF(tblDonnées[[#This Row],[0,5% du dép]]&gt;50000,50000,tblDonnées[[#This Row],[0,5% du dép]]))</f>
        <v>5000</v>
      </c>
      <c r="U212" s="10">
        <f>ABS(tblDonnées[[#This Row],[MONTANT DEPASSEMENT]]*0.005)</f>
        <v>0</v>
      </c>
      <c r="V212" s="33"/>
      <c r="W212" s="33"/>
      <c r="X212" s="33"/>
      <c r="Y212" s="33"/>
      <c r="Z212" s="33"/>
    </row>
    <row r="213" spans="1:26" x14ac:dyDescent="0.25">
      <c r="A213" s="33"/>
      <c r="B213" s="12"/>
      <c r="C213" s="33"/>
      <c r="D213" s="41"/>
      <c r="H213" s="21"/>
      <c r="I213" s="33"/>
      <c r="J213" s="42"/>
      <c r="K213" s="43"/>
      <c r="L213" s="44"/>
      <c r="M21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13" s="38">
        <f>tblDonnées[[#This Row],[MONTANT OPERATION]]+tblDonnées[[#This Row],[POS  FUSIONNEE CPTE AVANT OP]]</f>
        <v>0</v>
      </c>
      <c r="O213" s="17" t="str">
        <f>IF(ISBLANK(tblDonnées[[#This Row],[MONTANT AUTO]]), "N/A", ABS(tblDonnées[[#This Row],[POS  FUSIONNEE CPTE APRES OP]])-ABS(tblDonnées[[#This Row],[MONTANT AUTO]]))</f>
        <v>N/A</v>
      </c>
      <c r="P213" s="39" t="e">
        <f>tblDonnées[[#This Row],[DEPASSEMENT TOTAL SUR AUTO
]]/-tblDonnées[[#This Row],[MONTANT AUTO]]</f>
        <v>#VALUE!</v>
      </c>
      <c r="Q213" s="33"/>
      <c r="R213" s="33"/>
      <c r="S213" s="33"/>
      <c r="T213" s="40">
        <f>IF(tblDonnées[[#This Row],[0,5% du dép]]&lt;5000,5000,IF(tblDonnées[[#This Row],[0,5% du dép]]&gt;50000,50000,tblDonnées[[#This Row],[0,5% du dép]]))</f>
        <v>5000</v>
      </c>
      <c r="U213" s="10">
        <f>ABS(tblDonnées[[#This Row],[MONTANT DEPASSEMENT]]*0.005)</f>
        <v>0</v>
      </c>
      <c r="V213" s="33"/>
      <c r="W213" s="33"/>
      <c r="X213" s="33"/>
      <c r="Y213" s="33"/>
      <c r="Z213" s="33"/>
    </row>
    <row r="214" spans="1:26" x14ac:dyDescent="0.25">
      <c r="A214" s="33"/>
      <c r="B214" s="12"/>
      <c r="C214" s="33"/>
      <c r="D214" s="41"/>
      <c r="H214" s="21"/>
      <c r="I214" s="33"/>
      <c r="J214" s="42"/>
      <c r="K214" s="43"/>
      <c r="L214" s="44"/>
      <c r="M21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14" s="38">
        <f>tblDonnées[[#This Row],[MONTANT OPERATION]]+tblDonnées[[#This Row],[POS  FUSIONNEE CPTE AVANT OP]]</f>
        <v>0</v>
      </c>
      <c r="O214" s="17" t="str">
        <f>IF(ISBLANK(tblDonnées[[#This Row],[MONTANT AUTO]]), "N/A", ABS(tblDonnées[[#This Row],[POS  FUSIONNEE CPTE APRES OP]])-ABS(tblDonnées[[#This Row],[MONTANT AUTO]]))</f>
        <v>N/A</v>
      </c>
      <c r="P214" s="39" t="e">
        <f>tblDonnées[[#This Row],[DEPASSEMENT TOTAL SUR AUTO
]]/-tblDonnées[[#This Row],[MONTANT AUTO]]</f>
        <v>#VALUE!</v>
      </c>
      <c r="Q214" s="33"/>
      <c r="R214" s="33"/>
      <c r="S214" s="33"/>
      <c r="T214" s="40">
        <f>IF(tblDonnées[[#This Row],[0,5% du dép]]&lt;5000,5000,IF(tblDonnées[[#This Row],[0,5% du dép]]&gt;50000,50000,tblDonnées[[#This Row],[0,5% du dép]]))</f>
        <v>5000</v>
      </c>
      <c r="U214" s="10">
        <f>ABS(tblDonnées[[#This Row],[MONTANT DEPASSEMENT]]*0.005)</f>
        <v>0</v>
      </c>
      <c r="V214" s="33"/>
      <c r="W214" s="33"/>
      <c r="X214" s="33"/>
      <c r="Y214" s="33"/>
      <c r="Z214" s="33"/>
    </row>
    <row r="215" spans="1:26" x14ac:dyDescent="0.25">
      <c r="A215" s="33"/>
      <c r="B215" s="12"/>
      <c r="C215" s="33"/>
      <c r="D215" s="41"/>
      <c r="H215" s="21"/>
      <c r="I215" s="33"/>
      <c r="J215" s="42"/>
      <c r="K215" s="43"/>
      <c r="L215" s="44"/>
      <c r="M21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15" s="38">
        <f>tblDonnées[[#This Row],[MONTANT OPERATION]]+tblDonnées[[#This Row],[POS  FUSIONNEE CPTE AVANT OP]]</f>
        <v>0</v>
      </c>
      <c r="O215" s="17" t="str">
        <f>IF(ISBLANK(tblDonnées[[#This Row],[MONTANT AUTO]]), "N/A", ABS(tblDonnées[[#This Row],[POS  FUSIONNEE CPTE APRES OP]])-ABS(tblDonnées[[#This Row],[MONTANT AUTO]]))</f>
        <v>N/A</v>
      </c>
      <c r="P215" s="39" t="e">
        <f>tblDonnées[[#This Row],[DEPASSEMENT TOTAL SUR AUTO
]]/-tblDonnées[[#This Row],[MONTANT AUTO]]</f>
        <v>#VALUE!</v>
      </c>
      <c r="Q215" s="33"/>
      <c r="R215" s="33"/>
      <c r="S215" s="33"/>
      <c r="T215" s="40">
        <f>IF(tblDonnées[[#This Row],[0,5% du dép]]&lt;5000,5000,IF(tblDonnées[[#This Row],[0,5% du dép]]&gt;50000,50000,tblDonnées[[#This Row],[0,5% du dép]]))</f>
        <v>5000</v>
      </c>
      <c r="U215" s="10">
        <f>ABS(tblDonnées[[#This Row],[MONTANT DEPASSEMENT]]*0.005)</f>
        <v>0</v>
      </c>
      <c r="V215" s="33"/>
      <c r="W215" s="33"/>
      <c r="X215" s="33"/>
      <c r="Y215" s="33"/>
      <c r="Z215" s="33"/>
    </row>
    <row r="216" spans="1:26" x14ac:dyDescent="0.25">
      <c r="A216" s="33"/>
      <c r="B216" s="12"/>
      <c r="C216" s="33"/>
      <c r="D216" s="41"/>
      <c r="H216" s="21"/>
      <c r="I216" s="33"/>
      <c r="J216" s="42"/>
      <c r="K216" s="43"/>
      <c r="L216" s="44"/>
      <c r="M21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16" s="38">
        <f>tblDonnées[[#This Row],[MONTANT OPERATION]]+tblDonnées[[#This Row],[POS  FUSIONNEE CPTE AVANT OP]]</f>
        <v>0</v>
      </c>
      <c r="O216" s="17" t="str">
        <f>IF(ISBLANK(tblDonnées[[#This Row],[MONTANT AUTO]]), "N/A", ABS(tblDonnées[[#This Row],[POS  FUSIONNEE CPTE APRES OP]])-ABS(tblDonnées[[#This Row],[MONTANT AUTO]]))</f>
        <v>N/A</v>
      </c>
      <c r="P216" s="39" t="e">
        <f>tblDonnées[[#This Row],[DEPASSEMENT TOTAL SUR AUTO
]]/-tblDonnées[[#This Row],[MONTANT AUTO]]</f>
        <v>#VALUE!</v>
      </c>
      <c r="Q216" s="33"/>
      <c r="R216" s="33"/>
      <c r="S216" s="33"/>
      <c r="T216" s="40">
        <f>IF(tblDonnées[[#This Row],[0,5% du dép]]&lt;5000,5000,IF(tblDonnées[[#This Row],[0,5% du dép]]&gt;50000,50000,tblDonnées[[#This Row],[0,5% du dép]]))</f>
        <v>5000</v>
      </c>
      <c r="U216" s="10">
        <f>ABS(tblDonnées[[#This Row],[MONTANT DEPASSEMENT]]*0.005)</f>
        <v>0</v>
      </c>
      <c r="V216" s="33"/>
      <c r="W216" s="33"/>
      <c r="X216" s="33"/>
      <c r="Y216" s="33"/>
      <c r="Z216" s="33"/>
    </row>
    <row r="217" spans="1:26" x14ac:dyDescent="0.25">
      <c r="A217" s="33"/>
      <c r="B217" s="12"/>
      <c r="C217" s="33"/>
      <c r="D217" s="41"/>
      <c r="H217" s="21"/>
      <c r="I217" s="33"/>
      <c r="J217" s="42"/>
      <c r="K217" s="43"/>
      <c r="L217" s="44"/>
      <c r="M21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17" s="38">
        <f>tblDonnées[[#This Row],[MONTANT OPERATION]]+tblDonnées[[#This Row],[POS  FUSIONNEE CPTE AVANT OP]]</f>
        <v>0</v>
      </c>
      <c r="O217" s="17" t="str">
        <f>IF(ISBLANK(tblDonnées[[#This Row],[MONTANT AUTO]]), "N/A", ABS(tblDonnées[[#This Row],[POS  FUSIONNEE CPTE APRES OP]])-ABS(tblDonnées[[#This Row],[MONTANT AUTO]]))</f>
        <v>N/A</v>
      </c>
      <c r="P217" s="39" t="e">
        <f>tblDonnées[[#This Row],[DEPASSEMENT TOTAL SUR AUTO
]]/-tblDonnées[[#This Row],[MONTANT AUTO]]</f>
        <v>#VALUE!</v>
      </c>
      <c r="Q217" s="33"/>
      <c r="R217" s="33"/>
      <c r="S217" s="33"/>
      <c r="T217" s="40">
        <f>IF(tblDonnées[[#This Row],[0,5% du dép]]&lt;5000,5000,IF(tblDonnées[[#This Row],[0,5% du dép]]&gt;50000,50000,tblDonnées[[#This Row],[0,5% du dép]]))</f>
        <v>5000</v>
      </c>
      <c r="U217" s="10">
        <f>ABS(tblDonnées[[#This Row],[MONTANT DEPASSEMENT]]*0.005)</f>
        <v>0</v>
      </c>
      <c r="V217" s="33"/>
      <c r="W217" s="33"/>
      <c r="X217" s="33"/>
      <c r="Y217" s="33"/>
      <c r="Z217" s="33"/>
    </row>
    <row r="218" spans="1:26" x14ac:dyDescent="0.25">
      <c r="A218" s="33"/>
      <c r="B218" s="12"/>
      <c r="C218" s="33"/>
      <c r="D218" s="41"/>
      <c r="H218" s="21"/>
      <c r="I218" s="33"/>
      <c r="J218" s="42"/>
      <c r="K218" s="43"/>
      <c r="L218" s="44"/>
      <c r="M21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18" s="38">
        <f>tblDonnées[[#This Row],[MONTANT OPERATION]]+tblDonnées[[#This Row],[POS  FUSIONNEE CPTE AVANT OP]]</f>
        <v>0</v>
      </c>
      <c r="O218" s="17" t="str">
        <f>IF(ISBLANK(tblDonnées[[#This Row],[MONTANT AUTO]]), "N/A", ABS(tblDonnées[[#This Row],[POS  FUSIONNEE CPTE APRES OP]])-ABS(tblDonnées[[#This Row],[MONTANT AUTO]]))</f>
        <v>N/A</v>
      </c>
      <c r="P218" s="39" t="e">
        <f>tblDonnées[[#This Row],[DEPASSEMENT TOTAL SUR AUTO
]]/-tblDonnées[[#This Row],[MONTANT AUTO]]</f>
        <v>#VALUE!</v>
      </c>
      <c r="Q218" s="33"/>
      <c r="R218" s="33"/>
      <c r="S218" s="33"/>
      <c r="T218" s="40">
        <f>IF(tblDonnées[[#This Row],[0,5% du dép]]&lt;5000,5000,IF(tblDonnées[[#This Row],[0,5% du dép]]&gt;50000,50000,tblDonnées[[#This Row],[0,5% du dép]]))</f>
        <v>5000</v>
      </c>
      <c r="U218" s="10">
        <f>ABS(tblDonnées[[#This Row],[MONTANT DEPASSEMENT]]*0.005)</f>
        <v>0</v>
      </c>
      <c r="V218" s="33"/>
      <c r="W218" s="33"/>
      <c r="X218" s="33"/>
      <c r="Y218" s="33"/>
      <c r="Z218" s="33"/>
    </row>
    <row r="219" spans="1:26" x14ac:dyDescent="0.25">
      <c r="A219" s="33"/>
      <c r="B219" s="12"/>
      <c r="C219" s="33"/>
      <c r="D219" s="41"/>
      <c r="H219" s="21"/>
      <c r="I219" s="33"/>
      <c r="J219" s="42"/>
      <c r="K219" s="43"/>
      <c r="L219" s="44"/>
      <c r="M21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19" s="38">
        <f>tblDonnées[[#This Row],[MONTANT OPERATION]]+tblDonnées[[#This Row],[POS  FUSIONNEE CPTE AVANT OP]]</f>
        <v>0</v>
      </c>
      <c r="O219" s="17" t="str">
        <f>IF(ISBLANK(tblDonnées[[#This Row],[MONTANT AUTO]]), "N/A", ABS(tblDonnées[[#This Row],[POS  FUSIONNEE CPTE APRES OP]])-ABS(tblDonnées[[#This Row],[MONTANT AUTO]]))</f>
        <v>N/A</v>
      </c>
      <c r="P219" s="39" t="e">
        <f>tblDonnées[[#This Row],[DEPASSEMENT TOTAL SUR AUTO
]]/-tblDonnées[[#This Row],[MONTANT AUTO]]</f>
        <v>#VALUE!</v>
      </c>
      <c r="Q219" s="33"/>
      <c r="R219" s="33"/>
      <c r="S219" s="33"/>
      <c r="T219" s="40">
        <f>IF(tblDonnées[[#This Row],[0,5% du dép]]&lt;5000,5000,IF(tblDonnées[[#This Row],[0,5% du dép]]&gt;50000,50000,tblDonnées[[#This Row],[0,5% du dép]]))</f>
        <v>5000</v>
      </c>
      <c r="U219" s="10">
        <f>ABS(tblDonnées[[#This Row],[MONTANT DEPASSEMENT]]*0.005)</f>
        <v>0</v>
      </c>
      <c r="V219" s="33"/>
      <c r="W219" s="33"/>
      <c r="X219" s="33"/>
      <c r="Y219" s="33"/>
      <c r="Z219" s="33"/>
    </row>
    <row r="220" spans="1:26" x14ac:dyDescent="0.25">
      <c r="A220" s="33"/>
      <c r="B220" s="12"/>
      <c r="C220" s="33"/>
      <c r="D220" s="41"/>
      <c r="H220" s="21"/>
      <c r="I220" s="33"/>
      <c r="J220" s="42"/>
      <c r="K220" s="43"/>
      <c r="L220" s="44"/>
      <c r="M22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20" s="38">
        <f>tblDonnées[[#This Row],[MONTANT OPERATION]]+tblDonnées[[#This Row],[POS  FUSIONNEE CPTE AVANT OP]]</f>
        <v>0</v>
      </c>
      <c r="O220" s="17" t="str">
        <f>IF(ISBLANK(tblDonnées[[#This Row],[MONTANT AUTO]]), "N/A", ABS(tblDonnées[[#This Row],[POS  FUSIONNEE CPTE APRES OP]])-ABS(tblDonnées[[#This Row],[MONTANT AUTO]]))</f>
        <v>N/A</v>
      </c>
      <c r="P220" s="39" t="e">
        <f>tblDonnées[[#This Row],[DEPASSEMENT TOTAL SUR AUTO
]]/-tblDonnées[[#This Row],[MONTANT AUTO]]</f>
        <v>#VALUE!</v>
      </c>
      <c r="Q220" s="33"/>
      <c r="R220" s="33"/>
      <c r="S220" s="33"/>
      <c r="T220" s="40">
        <f>IF(tblDonnées[[#This Row],[0,5% du dép]]&lt;5000,5000,IF(tblDonnées[[#This Row],[0,5% du dép]]&gt;50000,50000,tblDonnées[[#This Row],[0,5% du dép]]))</f>
        <v>5000</v>
      </c>
      <c r="U220" s="10">
        <f>ABS(tblDonnées[[#This Row],[MONTANT DEPASSEMENT]]*0.005)</f>
        <v>0</v>
      </c>
      <c r="V220" s="33"/>
      <c r="W220" s="33"/>
      <c r="X220" s="33"/>
      <c r="Y220" s="33"/>
      <c r="Z220" s="33"/>
    </row>
    <row r="221" spans="1:26" x14ac:dyDescent="0.25">
      <c r="A221" s="33"/>
      <c r="B221" s="12"/>
      <c r="C221" s="33"/>
      <c r="D221" s="41"/>
      <c r="H221" s="21"/>
      <c r="I221" s="33"/>
      <c r="J221" s="42"/>
      <c r="K221" s="43"/>
      <c r="L221" s="44"/>
      <c r="M22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21" s="38">
        <f>tblDonnées[[#This Row],[MONTANT OPERATION]]+tblDonnées[[#This Row],[POS  FUSIONNEE CPTE AVANT OP]]</f>
        <v>0</v>
      </c>
      <c r="O221" s="17" t="str">
        <f>IF(ISBLANK(tblDonnées[[#This Row],[MONTANT AUTO]]), "N/A", ABS(tblDonnées[[#This Row],[POS  FUSIONNEE CPTE APRES OP]])-ABS(tblDonnées[[#This Row],[MONTANT AUTO]]))</f>
        <v>N/A</v>
      </c>
      <c r="P221" s="39" t="e">
        <f>tblDonnées[[#This Row],[DEPASSEMENT TOTAL SUR AUTO
]]/-tblDonnées[[#This Row],[MONTANT AUTO]]</f>
        <v>#VALUE!</v>
      </c>
      <c r="Q221" s="33"/>
      <c r="R221" s="33"/>
      <c r="S221" s="33"/>
      <c r="T221" s="40">
        <f>IF(tblDonnées[[#This Row],[0,5% du dép]]&lt;5000,5000,IF(tblDonnées[[#This Row],[0,5% du dép]]&gt;50000,50000,tblDonnées[[#This Row],[0,5% du dép]]))</f>
        <v>5000</v>
      </c>
      <c r="U221" s="10">
        <f>ABS(tblDonnées[[#This Row],[MONTANT DEPASSEMENT]]*0.005)</f>
        <v>0</v>
      </c>
      <c r="V221" s="33"/>
      <c r="W221" s="33"/>
      <c r="X221" s="33"/>
      <c r="Y221" s="33"/>
      <c r="Z221" s="33"/>
    </row>
    <row r="222" spans="1:26" x14ac:dyDescent="0.25">
      <c r="A222" s="33"/>
      <c r="B222" s="12"/>
      <c r="C222" s="33"/>
      <c r="D222" s="41"/>
      <c r="H222" s="21"/>
      <c r="I222" s="33"/>
      <c r="J222" s="42"/>
      <c r="K222" s="43"/>
      <c r="L222" s="44"/>
      <c r="M22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22" s="38">
        <f>tblDonnées[[#This Row],[MONTANT OPERATION]]+tblDonnées[[#This Row],[POS  FUSIONNEE CPTE AVANT OP]]</f>
        <v>0</v>
      </c>
      <c r="O222" s="17" t="str">
        <f>IF(ISBLANK(tblDonnées[[#This Row],[MONTANT AUTO]]), "N/A", ABS(tblDonnées[[#This Row],[POS  FUSIONNEE CPTE APRES OP]])-ABS(tblDonnées[[#This Row],[MONTANT AUTO]]))</f>
        <v>N/A</v>
      </c>
      <c r="P222" s="39" t="e">
        <f>tblDonnées[[#This Row],[DEPASSEMENT TOTAL SUR AUTO
]]/-tblDonnées[[#This Row],[MONTANT AUTO]]</f>
        <v>#VALUE!</v>
      </c>
      <c r="Q222" s="33"/>
      <c r="R222" s="33"/>
      <c r="S222" s="33"/>
      <c r="T222" s="40">
        <f>IF(tblDonnées[[#This Row],[0,5% du dép]]&lt;5000,5000,IF(tblDonnées[[#This Row],[0,5% du dép]]&gt;50000,50000,tblDonnées[[#This Row],[0,5% du dép]]))</f>
        <v>5000</v>
      </c>
      <c r="U222" s="10">
        <f>ABS(tblDonnées[[#This Row],[MONTANT DEPASSEMENT]]*0.005)</f>
        <v>0</v>
      </c>
      <c r="V222" s="33"/>
      <c r="W222" s="33"/>
      <c r="X222" s="33"/>
      <c r="Y222" s="33"/>
      <c r="Z222" s="33"/>
    </row>
    <row r="223" spans="1:26" x14ac:dyDescent="0.25">
      <c r="A223" s="33"/>
      <c r="B223" s="12"/>
      <c r="C223" s="33"/>
      <c r="D223" s="41"/>
      <c r="H223" s="21"/>
      <c r="I223" s="33"/>
      <c r="J223" s="42"/>
      <c r="K223" s="43"/>
      <c r="L223" s="44"/>
      <c r="M22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23" s="38">
        <f>tblDonnées[[#This Row],[MONTANT OPERATION]]+tblDonnées[[#This Row],[POS  FUSIONNEE CPTE AVANT OP]]</f>
        <v>0</v>
      </c>
      <c r="O223" s="17" t="str">
        <f>IF(ISBLANK(tblDonnées[[#This Row],[MONTANT AUTO]]), "N/A", ABS(tblDonnées[[#This Row],[POS  FUSIONNEE CPTE APRES OP]])-ABS(tblDonnées[[#This Row],[MONTANT AUTO]]))</f>
        <v>N/A</v>
      </c>
      <c r="P223" s="39" t="e">
        <f>tblDonnées[[#This Row],[DEPASSEMENT TOTAL SUR AUTO
]]/-tblDonnées[[#This Row],[MONTANT AUTO]]</f>
        <v>#VALUE!</v>
      </c>
      <c r="Q223" s="33"/>
      <c r="R223" s="33"/>
      <c r="S223" s="33"/>
      <c r="T223" s="40">
        <f>IF(tblDonnées[[#This Row],[0,5% du dép]]&lt;5000,5000,IF(tblDonnées[[#This Row],[0,5% du dép]]&gt;50000,50000,tblDonnées[[#This Row],[0,5% du dép]]))</f>
        <v>5000</v>
      </c>
      <c r="U223" s="10">
        <f>ABS(tblDonnées[[#This Row],[MONTANT DEPASSEMENT]]*0.005)</f>
        <v>0</v>
      </c>
      <c r="V223" s="33"/>
      <c r="W223" s="33"/>
      <c r="X223" s="33"/>
      <c r="Y223" s="33"/>
      <c r="Z223" s="33"/>
    </row>
    <row r="224" spans="1:26" x14ac:dyDescent="0.25">
      <c r="A224" s="33"/>
      <c r="B224" s="12"/>
      <c r="C224" s="33"/>
      <c r="D224" s="41"/>
      <c r="H224" s="21"/>
      <c r="I224" s="33"/>
      <c r="J224" s="42"/>
      <c r="K224" s="43"/>
      <c r="L224" s="44"/>
      <c r="M22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24" s="38">
        <f>tblDonnées[[#This Row],[MONTANT OPERATION]]+tblDonnées[[#This Row],[POS  FUSIONNEE CPTE AVANT OP]]</f>
        <v>0</v>
      </c>
      <c r="O224" s="17" t="str">
        <f>IF(ISBLANK(tblDonnées[[#This Row],[MONTANT AUTO]]), "N/A", ABS(tblDonnées[[#This Row],[POS  FUSIONNEE CPTE APRES OP]])-ABS(tblDonnées[[#This Row],[MONTANT AUTO]]))</f>
        <v>N/A</v>
      </c>
      <c r="P224" s="39" t="e">
        <f>tblDonnées[[#This Row],[DEPASSEMENT TOTAL SUR AUTO
]]/-tblDonnées[[#This Row],[MONTANT AUTO]]</f>
        <v>#VALUE!</v>
      </c>
      <c r="Q224" s="33"/>
      <c r="R224" s="33"/>
      <c r="S224" s="33"/>
      <c r="T224" s="40">
        <f>IF(tblDonnées[[#This Row],[0,5% du dép]]&lt;5000,5000,IF(tblDonnées[[#This Row],[0,5% du dép]]&gt;50000,50000,tblDonnées[[#This Row],[0,5% du dép]]))</f>
        <v>5000</v>
      </c>
      <c r="U224" s="10">
        <f>ABS(tblDonnées[[#This Row],[MONTANT DEPASSEMENT]]*0.005)</f>
        <v>0</v>
      </c>
      <c r="V224" s="33"/>
      <c r="W224" s="33"/>
      <c r="X224" s="33"/>
      <c r="Y224" s="33"/>
      <c r="Z224" s="33"/>
    </row>
    <row r="225" spans="1:26" x14ac:dyDescent="0.25">
      <c r="A225" s="33"/>
      <c r="B225" s="12"/>
      <c r="C225" s="33"/>
      <c r="D225" s="41"/>
      <c r="H225" s="21"/>
      <c r="I225" s="33"/>
      <c r="J225" s="42"/>
      <c r="K225" s="43"/>
      <c r="L225" s="44"/>
      <c r="M22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25" s="38">
        <f>tblDonnées[[#This Row],[MONTANT OPERATION]]+tblDonnées[[#This Row],[POS  FUSIONNEE CPTE AVANT OP]]</f>
        <v>0</v>
      </c>
      <c r="O225" s="17" t="str">
        <f>IF(ISBLANK(tblDonnées[[#This Row],[MONTANT AUTO]]), "N/A", ABS(tblDonnées[[#This Row],[POS  FUSIONNEE CPTE APRES OP]])-ABS(tblDonnées[[#This Row],[MONTANT AUTO]]))</f>
        <v>N/A</v>
      </c>
      <c r="P225" s="39" t="e">
        <f>tblDonnées[[#This Row],[DEPASSEMENT TOTAL SUR AUTO
]]/-tblDonnées[[#This Row],[MONTANT AUTO]]</f>
        <v>#VALUE!</v>
      </c>
      <c r="Q225" s="33"/>
      <c r="R225" s="33"/>
      <c r="S225" s="33"/>
      <c r="T225" s="40">
        <f>IF(tblDonnées[[#This Row],[0,5% du dép]]&lt;5000,5000,IF(tblDonnées[[#This Row],[0,5% du dép]]&gt;50000,50000,tblDonnées[[#This Row],[0,5% du dép]]))</f>
        <v>5000</v>
      </c>
      <c r="U225" s="10">
        <f>ABS(tblDonnées[[#This Row],[MONTANT DEPASSEMENT]]*0.005)</f>
        <v>0</v>
      </c>
      <c r="V225" s="33"/>
      <c r="W225" s="33"/>
      <c r="X225" s="33"/>
      <c r="Y225" s="33"/>
      <c r="Z225" s="33"/>
    </row>
    <row r="226" spans="1:26" x14ac:dyDescent="0.25">
      <c r="A226" s="33"/>
      <c r="B226" s="12"/>
      <c r="C226" s="33"/>
      <c r="D226" s="41"/>
      <c r="H226" s="21"/>
      <c r="I226" s="33"/>
      <c r="J226" s="42"/>
      <c r="K226" s="43"/>
      <c r="L226" s="44"/>
      <c r="M22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26" s="38">
        <f>tblDonnées[[#This Row],[MONTANT OPERATION]]+tblDonnées[[#This Row],[POS  FUSIONNEE CPTE AVANT OP]]</f>
        <v>0</v>
      </c>
      <c r="O226" s="17" t="str">
        <f>IF(ISBLANK(tblDonnées[[#This Row],[MONTANT AUTO]]), "N/A", ABS(tblDonnées[[#This Row],[POS  FUSIONNEE CPTE APRES OP]])-ABS(tblDonnées[[#This Row],[MONTANT AUTO]]))</f>
        <v>N/A</v>
      </c>
      <c r="P226" s="39" t="e">
        <f>tblDonnées[[#This Row],[DEPASSEMENT TOTAL SUR AUTO
]]/-tblDonnées[[#This Row],[MONTANT AUTO]]</f>
        <v>#VALUE!</v>
      </c>
      <c r="Q226" s="33"/>
      <c r="R226" s="33"/>
      <c r="S226" s="33"/>
      <c r="T226" s="40">
        <f>IF(tblDonnées[[#This Row],[0,5% du dép]]&lt;5000,5000,IF(tblDonnées[[#This Row],[0,5% du dép]]&gt;50000,50000,tblDonnées[[#This Row],[0,5% du dép]]))</f>
        <v>5000</v>
      </c>
      <c r="U226" s="10">
        <f>ABS(tblDonnées[[#This Row],[MONTANT DEPASSEMENT]]*0.005)</f>
        <v>0</v>
      </c>
      <c r="V226" s="33"/>
      <c r="W226" s="33"/>
      <c r="X226" s="33"/>
      <c r="Y226" s="33"/>
      <c r="Z226" s="33"/>
    </row>
    <row r="227" spans="1:26" x14ac:dyDescent="0.25">
      <c r="A227" s="33"/>
      <c r="B227" s="12"/>
      <c r="C227" s="33"/>
      <c r="D227" s="41"/>
      <c r="H227" s="21"/>
      <c r="I227" s="33"/>
      <c r="J227" s="42"/>
      <c r="K227" s="43"/>
      <c r="L227" s="44"/>
      <c r="M22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27" s="38">
        <f>tblDonnées[[#This Row],[MONTANT OPERATION]]+tblDonnées[[#This Row],[POS  FUSIONNEE CPTE AVANT OP]]</f>
        <v>0</v>
      </c>
      <c r="O227" s="17" t="str">
        <f>IF(ISBLANK(tblDonnées[[#This Row],[MONTANT AUTO]]), "N/A", ABS(tblDonnées[[#This Row],[POS  FUSIONNEE CPTE APRES OP]])-ABS(tblDonnées[[#This Row],[MONTANT AUTO]]))</f>
        <v>N/A</v>
      </c>
      <c r="P227" s="39" t="e">
        <f>tblDonnées[[#This Row],[DEPASSEMENT TOTAL SUR AUTO
]]/-tblDonnées[[#This Row],[MONTANT AUTO]]</f>
        <v>#VALUE!</v>
      </c>
      <c r="Q227" s="33"/>
      <c r="R227" s="33"/>
      <c r="S227" s="33"/>
      <c r="T227" s="40">
        <f>IF(tblDonnées[[#This Row],[0,5% du dép]]&lt;5000,5000,IF(tblDonnées[[#This Row],[0,5% du dép]]&gt;50000,50000,tblDonnées[[#This Row],[0,5% du dép]]))</f>
        <v>5000</v>
      </c>
      <c r="U227" s="10">
        <f>ABS(tblDonnées[[#This Row],[MONTANT DEPASSEMENT]]*0.005)</f>
        <v>0</v>
      </c>
      <c r="V227" s="33"/>
      <c r="W227" s="33"/>
      <c r="X227" s="33"/>
      <c r="Y227" s="33"/>
      <c r="Z227" s="33"/>
    </row>
    <row r="228" spans="1:26" x14ac:dyDescent="0.25">
      <c r="A228" s="33"/>
      <c r="B228" s="12"/>
      <c r="C228" s="33"/>
      <c r="D228" s="41"/>
      <c r="H228" s="21"/>
      <c r="I228" s="33"/>
      <c r="J228" s="42"/>
      <c r="K228" s="43"/>
      <c r="L228" s="44"/>
      <c r="M22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28" s="38">
        <f>tblDonnées[[#This Row],[MONTANT OPERATION]]+tblDonnées[[#This Row],[POS  FUSIONNEE CPTE AVANT OP]]</f>
        <v>0</v>
      </c>
      <c r="O228" s="17" t="str">
        <f>IF(ISBLANK(tblDonnées[[#This Row],[MONTANT AUTO]]), "N/A", ABS(tblDonnées[[#This Row],[POS  FUSIONNEE CPTE APRES OP]])-ABS(tblDonnées[[#This Row],[MONTANT AUTO]]))</f>
        <v>N/A</v>
      </c>
      <c r="P228" s="39" t="e">
        <f>tblDonnées[[#This Row],[DEPASSEMENT TOTAL SUR AUTO
]]/-tblDonnées[[#This Row],[MONTANT AUTO]]</f>
        <v>#VALUE!</v>
      </c>
      <c r="Q228" s="33"/>
      <c r="R228" s="33"/>
      <c r="S228" s="33"/>
      <c r="T228" s="40">
        <f>IF(tblDonnées[[#This Row],[0,5% du dép]]&lt;5000,5000,IF(tblDonnées[[#This Row],[0,5% du dép]]&gt;50000,50000,tblDonnées[[#This Row],[0,5% du dép]]))</f>
        <v>5000</v>
      </c>
      <c r="U228" s="10">
        <f>ABS(tblDonnées[[#This Row],[MONTANT DEPASSEMENT]]*0.005)</f>
        <v>0</v>
      </c>
      <c r="V228" s="33"/>
      <c r="W228" s="33"/>
      <c r="X228" s="33"/>
      <c r="Y228" s="33"/>
      <c r="Z228" s="33"/>
    </row>
    <row r="229" spans="1:26" x14ac:dyDescent="0.25">
      <c r="A229" s="33"/>
      <c r="B229" s="12"/>
      <c r="C229" s="33"/>
      <c r="D229" s="41"/>
      <c r="H229" s="21"/>
      <c r="I229" s="33"/>
      <c r="J229" s="42"/>
      <c r="K229" s="43"/>
      <c r="L229" s="44"/>
      <c r="M22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29" s="38">
        <f>tblDonnées[[#This Row],[MONTANT OPERATION]]+tblDonnées[[#This Row],[POS  FUSIONNEE CPTE AVANT OP]]</f>
        <v>0</v>
      </c>
      <c r="O229" s="17" t="str">
        <f>IF(ISBLANK(tblDonnées[[#This Row],[MONTANT AUTO]]), "N/A", ABS(tblDonnées[[#This Row],[POS  FUSIONNEE CPTE APRES OP]])-ABS(tblDonnées[[#This Row],[MONTANT AUTO]]))</f>
        <v>N/A</v>
      </c>
      <c r="P229" s="39" t="e">
        <f>tblDonnées[[#This Row],[DEPASSEMENT TOTAL SUR AUTO
]]/-tblDonnées[[#This Row],[MONTANT AUTO]]</f>
        <v>#VALUE!</v>
      </c>
      <c r="Q229" s="33"/>
      <c r="R229" s="33"/>
      <c r="S229" s="33"/>
      <c r="T229" s="40">
        <f>IF(tblDonnées[[#This Row],[0,5% du dép]]&lt;5000,5000,IF(tblDonnées[[#This Row],[0,5% du dép]]&gt;50000,50000,tblDonnées[[#This Row],[0,5% du dép]]))</f>
        <v>5000</v>
      </c>
      <c r="U229" s="10">
        <f>ABS(tblDonnées[[#This Row],[MONTANT DEPASSEMENT]]*0.005)</f>
        <v>0</v>
      </c>
      <c r="V229" s="33"/>
      <c r="W229" s="33"/>
      <c r="X229" s="33"/>
      <c r="Y229" s="33"/>
      <c r="Z229" s="33"/>
    </row>
    <row r="230" spans="1:26" x14ac:dyDescent="0.25">
      <c r="A230" s="33"/>
      <c r="B230" s="12"/>
      <c r="C230" s="33"/>
      <c r="D230" s="41"/>
      <c r="H230" s="21"/>
      <c r="I230" s="33"/>
      <c r="J230" s="42"/>
      <c r="K230" s="43"/>
      <c r="L230" s="44"/>
      <c r="M23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30" s="38">
        <f>tblDonnées[[#This Row],[MONTANT OPERATION]]+tblDonnées[[#This Row],[POS  FUSIONNEE CPTE AVANT OP]]</f>
        <v>0</v>
      </c>
      <c r="O230" s="17" t="str">
        <f>IF(ISBLANK(tblDonnées[[#This Row],[MONTANT AUTO]]), "N/A", ABS(tblDonnées[[#This Row],[POS  FUSIONNEE CPTE APRES OP]])-ABS(tblDonnées[[#This Row],[MONTANT AUTO]]))</f>
        <v>N/A</v>
      </c>
      <c r="P230" s="39" t="e">
        <f>tblDonnées[[#This Row],[DEPASSEMENT TOTAL SUR AUTO
]]/-tblDonnées[[#This Row],[MONTANT AUTO]]</f>
        <v>#VALUE!</v>
      </c>
      <c r="Q230" s="33"/>
      <c r="R230" s="33"/>
      <c r="S230" s="33"/>
      <c r="T230" s="40">
        <f>IF(tblDonnées[[#This Row],[0,5% du dép]]&lt;5000,5000,IF(tblDonnées[[#This Row],[0,5% du dép]]&gt;50000,50000,tblDonnées[[#This Row],[0,5% du dép]]))</f>
        <v>5000</v>
      </c>
      <c r="U230" s="10">
        <f>ABS(tblDonnées[[#This Row],[MONTANT DEPASSEMENT]]*0.005)</f>
        <v>0</v>
      </c>
      <c r="V230" s="33"/>
      <c r="W230" s="33"/>
      <c r="X230" s="33"/>
      <c r="Y230" s="33"/>
      <c r="Z230" s="33"/>
    </row>
    <row r="231" spans="1:26" x14ac:dyDescent="0.25">
      <c r="A231" s="33"/>
      <c r="B231" s="12"/>
      <c r="C231" s="33"/>
      <c r="D231" s="41"/>
      <c r="H231" s="21"/>
      <c r="I231" s="33"/>
      <c r="J231" s="42"/>
      <c r="K231" s="43"/>
      <c r="L231" s="44"/>
      <c r="M23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31" s="38">
        <f>tblDonnées[[#This Row],[MONTANT OPERATION]]+tblDonnées[[#This Row],[POS  FUSIONNEE CPTE AVANT OP]]</f>
        <v>0</v>
      </c>
      <c r="O231" s="17" t="str">
        <f>IF(ISBLANK(tblDonnées[[#This Row],[MONTANT AUTO]]), "N/A", ABS(tblDonnées[[#This Row],[POS  FUSIONNEE CPTE APRES OP]])-ABS(tblDonnées[[#This Row],[MONTANT AUTO]]))</f>
        <v>N/A</v>
      </c>
      <c r="P231" s="39" t="e">
        <f>tblDonnées[[#This Row],[DEPASSEMENT TOTAL SUR AUTO
]]/-tblDonnées[[#This Row],[MONTANT AUTO]]</f>
        <v>#VALUE!</v>
      </c>
      <c r="Q231" s="33"/>
      <c r="R231" s="33"/>
      <c r="S231" s="33"/>
      <c r="T231" s="40">
        <f>IF(tblDonnées[[#This Row],[0,5% du dép]]&lt;5000,5000,IF(tblDonnées[[#This Row],[0,5% du dép]]&gt;50000,50000,tblDonnées[[#This Row],[0,5% du dép]]))</f>
        <v>5000</v>
      </c>
      <c r="U231" s="10">
        <f>ABS(tblDonnées[[#This Row],[MONTANT DEPASSEMENT]]*0.005)</f>
        <v>0</v>
      </c>
      <c r="V231" s="33"/>
      <c r="W231" s="33"/>
      <c r="X231" s="33"/>
      <c r="Y231" s="33"/>
      <c r="Z231" s="33"/>
    </row>
    <row r="232" spans="1:26" x14ac:dyDescent="0.25">
      <c r="A232" s="33"/>
      <c r="B232" s="12"/>
      <c r="C232" s="33"/>
      <c r="D232" s="41"/>
      <c r="H232" s="21"/>
      <c r="I232" s="33"/>
      <c r="J232" s="42"/>
      <c r="K232" s="43"/>
      <c r="L232" s="44"/>
      <c r="M23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32" s="38">
        <f>tblDonnées[[#This Row],[MONTANT OPERATION]]+tblDonnées[[#This Row],[POS  FUSIONNEE CPTE AVANT OP]]</f>
        <v>0</v>
      </c>
      <c r="O232" s="17" t="str">
        <f>IF(ISBLANK(tblDonnées[[#This Row],[MONTANT AUTO]]), "N/A", ABS(tblDonnées[[#This Row],[POS  FUSIONNEE CPTE APRES OP]])-ABS(tblDonnées[[#This Row],[MONTANT AUTO]]))</f>
        <v>N/A</v>
      </c>
      <c r="P232" s="39" t="e">
        <f>tblDonnées[[#This Row],[DEPASSEMENT TOTAL SUR AUTO
]]/-tblDonnées[[#This Row],[MONTANT AUTO]]</f>
        <v>#VALUE!</v>
      </c>
      <c r="Q232" s="33"/>
      <c r="R232" s="33"/>
      <c r="S232" s="33"/>
      <c r="T232" s="40">
        <f>IF(tblDonnées[[#This Row],[0,5% du dép]]&lt;5000,5000,IF(tblDonnées[[#This Row],[0,5% du dép]]&gt;50000,50000,tblDonnées[[#This Row],[0,5% du dép]]))</f>
        <v>5000</v>
      </c>
      <c r="U232" s="10">
        <f>ABS(tblDonnées[[#This Row],[MONTANT DEPASSEMENT]]*0.005)</f>
        <v>0</v>
      </c>
      <c r="V232" s="33"/>
      <c r="W232" s="33"/>
      <c r="X232" s="33"/>
      <c r="Y232" s="33"/>
      <c r="Z232" s="33"/>
    </row>
    <row r="233" spans="1:26" x14ac:dyDescent="0.25">
      <c r="A233" s="33"/>
      <c r="B233" s="12"/>
      <c r="C233" s="33"/>
      <c r="D233" s="41"/>
      <c r="H233" s="21"/>
      <c r="I233" s="33"/>
      <c r="J233" s="42"/>
      <c r="K233" s="43"/>
      <c r="L233" s="44"/>
      <c r="M23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33" s="38">
        <f>tblDonnées[[#This Row],[MONTANT OPERATION]]+tblDonnées[[#This Row],[POS  FUSIONNEE CPTE AVANT OP]]</f>
        <v>0</v>
      </c>
      <c r="O233" s="17" t="str">
        <f>IF(ISBLANK(tblDonnées[[#This Row],[MONTANT AUTO]]), "N/A", ABS(tblDonnées[[#This Row],[POS  FUSIONNEE CPTE APRES OP]])-ABS(tblDonnées[[#This Row],[MONTANT AUTO]]))</f>
        <v>N/A</v>
      </c>
      <c r="P233" s="39" t="e">
        <f>tblDonnées[[#This Row],[DEPASSEMENT TOTAL SUR AUTO
]]/-tblDonnées[[#This Row],[MONTANT AUTO]]</f>
        <v>#VALUE!</v>
      </c>
      <c r="Q233" s="33"/>
      <c r="R233" s="33"/>
      <c r="S233" s="33"/>
      <c r="T233" s="40">
        <f>IF(tblDonnées[[#This Row],[0,5% du dép]]&lt;5000,5000,IF(tblDonnées[[#This Row],[0,5% du dép]]&gt;50000,50000,tblDonnées[[#This Row],[0,5% du dép]]))</f>
        <v>5000</v>
      </c>
      <c r="U233" s="10">
        <f>ABS(tblDonnées[[#This Row],[MONTANT DEPASSEMENT]]*0.005)</f>
        <v>0</v>
      </c>
      <c r="V233" s="33"/>
      <c r="W233" s="33"/>
      <c r="X233" s="33"/>
      <c r="Y233" s="33"/>
      <c r="Z233" s="33"/>
    </row>
    <row r="234" spans="1:26" x14ac:dyDescent="0.25">
      <c r="A234" s="33"/>
      <c r="B234" s="12"/>
      <c r="C234" s="33"/>
      <c r="D234" s="41"/>
      <c r="H234" s="21"/>
      <c r="I234" s="33"/>
      <c r="J234" s="42"/>
      <c r="K234" s="43"/>
      <c r="L234" s="44"/>
      <c r="M23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34" s="38">
        <f>tblDonnées[[#This Row],[MONTANT OPERATION]]+tblDonnées[[#This Row],[POS  FUSIONNEE CPTE AVANT OP]]</f>
        <v>0</v>
      </c>
      <c r="O234" s="17" t="str">
        <f>IF(ISBLANK(tblDonnées[[#This Row],[MONTANT AUTO]]), "N/A", ABS(tblDonnées[[#This Row],[POS  FUSIONNEE CPTE APRES OP]])-ABS(tblDonnées[[#This Row],[MONTANT AUTO]]))</f>
        <v>N/A</v>
      </c>
      <c r="P234" s="39" t="e">
        <f>tblDonnées[[#This Row],[DEPASSEMENT TOTAL SUR AUTO
]]/-tblDonnées[[#This Row],[MONTANT AUTO]]</f>
        <v>#VALUE!</v>
      </c>
      <c r="Q234" s="33"/>
      <c r="R234" s="33"/>
      <c r="S234" s="33"/>
      <c r="T234" s="40">
        <f>IF(tblDonnées[[#This Row],[0,5% du dép]]&lt;5000,5000,IF(tblDonnées[[#This Row],[0,5% du dép]]&gt;50000,50000,tblDonnées[[#This Row],[0,5% du dép]]))</f>
        <v>5000</v>
      </c>
      <c r="U234" s="10">
        <f>ABS(tblDonnées[[#This Row],[MONTANT DEPASSEMENT]]*0.005)</f>
        <v>0</v>
      </c>
      <c r="V234" s="33"/>
      <c r="W234" s="33"/>
      <c r="X234" s="33"/>
      <c r="Y234" s="33"/>
      <c r="Z234" s="33"/>
    </row>
    <row r="235" spans="1:26" x14ac:dyDescent="0.25">
      <c r="A235" s="33"/>
      <c r="B235" s="12"/>
      <c r="C235" s="33"/>
      <c r="D235" s="41"/>
      <c r="H235" s="21"/>
      <c r="I235" s="33"/>
      <c r="J235" s="42"/>
      <c r="K235" s="43"/>
      <c r="L235" s="44"/>
      <c r="M23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35" s="38">
        <f>tblDonnées[[#This Row],[MONTANT OPERATION]]+tblDonnées[[#This Row],[POS  FUSIONNEE CPTE AVANT OP]]</f>
        <v>0</v>
      </c>
      <c r="O235" s="17" t="str">
        <f>IF(ISBLANK(tblDonnées[[#This Row],[MONTANT AUTO]]), "N/A", ABS(tblDonnées[[#This Row],[POS  FUSIONNEE CPTE APRES OP]])-ABS(tblDonnées[[#This Row],[MONTANT AUTO]]))</f>
        <v>N/A</v>
      </c>
      <c r="P235" s="39" t="e">
        <f>tblDonnées[[#This Row],[DEPASSEMENT TOTAL SUR AUTO
]]/-tblDonnées[[#This Row],[MONTANT AUTO]]</f>
        <v>#VALUE!</v>
      </c>
      <c r="Q235" s="33"/>
      <c r="R235" s="33"/>
      <c r="S235" s="33"/>
      <c r="T235" s="40">
        <f>IF(tblDonnées[[#This Row],[0,5% du dép]]&lt;5000,5000,IF(tblDonnées[[#This Row],[0,5% du dép]]&gt;50000,50000,tblDonnées[[#This Row],[0,5% du dép]]))</f>
        <v>5000</v>
      </c>
      <c r="U235" s="10">
        <f>ABS(tblDonnées[[#This Row],[MONTANT DEPASSEMENT]]*0.005)</f>
        <v>0</v>
      </c>
      <c r="V235" s="33"/>
      <c r="W235" s="33"/>
      <c r="X235" s="33"/>
      <c r="Y235" s="33"/>
      <c r="Z235" s="33"/>
    </row>
    <row r="236" spans="1:26" x14ac:dyDescent="0.25">
      <c r="A236" s="33"/>
      <c r="B236" s="12"/>
      <c r="C236" s="33"/>
      <c r="D236" s="41"/>
      <c r="H236" s="21"/>
      <c r="I236" s="33"/>
      <c r="J236" s="42"/>
      <c r="K236" s="43"/>
      <c r="L236" s="44"/>
      <c r="M23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36" s="38">
        <f>tblDonnées[[#This Row],[MONTANT OPERATION]]+tblDonnées[[#This Row],[POS  FUSIONNEE CPTE AVANT OP]]</f>
        <v>0</v>
      </c>
      <c r="O236" s="17" t="str">
        <f>IF(ISBLANK(tblDonnées[[#This Row],[MONTANT AUTO]]), "N/A", ABS(tblDonnées[[#This Row],[POS  FUSIONNEE CPTE APRES OP]])-ABS(tblDonnées[[#This Row],[MONTANT AUTO]]))</f>
        <v>N/A</v>
      </c>
      <c r="P236" s="39" t="e">
        <f>tblDonnées[[#This Row],[DEPASSEMENT TOTAL SUR AUTO
]]/-tblDonnées[[#This Row],[MONTANT AUTO]]</f>
        <v>#VALUE!</v>
      </c>
      <c r="Q236" s="33"/>
      <c r="R236" s="33"/>
      <c r="S236" s="33"/>
      <c r="T236" s="40">
        <f>IF(tblDonnées[[#This Row],[0,5% du dép]]&lt;5000,5000,IF(tblDonnées[[#This Row],[0,5% du dép]]&gt;50000,50000,tblDonnées[[#This Row],[0,5% du dép]]))</f>
        <v>5000</v>
      </c>
      <c r="U236" s="10">
        <f>ABS(tblDonnées[[#This Row],[MONTANT DEPASSEMENT]]*0.005)</f>
        <v>0</v>
      </c>
      <c r="V236" s="33"/>
      <c r="W236" s="33"/>
      <c r="X236" s="33"/>
      <c r="Y236" s="33"/>
      <c r="Z236" s="33"/>
    </row>
    <row r="237" spans="1:26" x14ac:dyDescent="0.25">
      <c r="A237" s="33"/>
      <c r="B237" s="12"/>
      <c r="C237" s="33"/>
      <c r="D237" s="41"/>
      <c r="H237" s="21"/>
      <c r="I237" s="33"/>
      <c r="J237" s="42"/>
      <c r="K237" s="43"/>
      <c r="L237" s="44"/>
      <c r="M23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37" s="38">
        <f>tblDonnées[[#This Row],[MONTANT OPERATION]]+tblDonnées[[#This Row],[POS  FUSIONNEE CPTE AVANT OP]]</f>
        <v>0</v>
      </c>
      <c r="O237" s="17" t="str">
        <f>IF(ISBLANK(tblDonnées[[#This Row],[MONTANT AUTO]]), "N/A", ABS(tblDonnées[[#This Row],[POS  FUSIONNEE CPTE APRES OP]])-ABS(tblDonnées[[#This Row],[MONTANT AUTO]]))</f>
        <v>N/A</v>
      </c>
      <c r="P237" s="39" t="e">
        <f>tblDonnées[[#This Row],[DEPASSEMENT TOTAL SUR AUTO
]]/-tblDonnées[[#This Row],[MONTANT AUTO]]</f>
        <v>#VALUE!</v>
      </c>
      <c r="Q237" s="33"/>
      <c r="R237" s="33"/>
      <c r="S237" s="33"/>
      <c r="T237" s="40">
        <f>IF(tblDonnées[[#This Row],[0,5% du dép]]&lt;5000,5000,IF(tblDonnées[[#This Row],[0,5% du dép]]&gt;50000,50000,tblDonnées[[#This Row],[0,5% du dép]]))</f>
        <v>5000</v>
      </c>
      <c r="U237" s="10">
        <f>ABS(tblDonnées[[#This Row],[MONTANT DEPASSEMENT]]*0.005)</f>
        <v>0</v>
      </c>
      <c r="V237" s="33"/>
      <c r="W237" s="33"/>
      <c r="X237" s="33"/>
      <c r="Y237" s="33"/>
      <c r="Z237" s="33"/>
    </row>
    <row r="238" spans="1:26" x14ac:dyDescent="0.25">
      <c r="A238" s="33"/>
      <c r="B238" s="12"/>
      <c r="C238" s="33"/>
      <c r="D238" s="41"/>
      <c r="H238" s="21"/>
      <c r="I238" s="33"/>
      <c r="J238" s="42"/>
      <c r="K238" s="43"/>
      <c r="L238" s="44"/>
      <c r="M23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38" s="38">
        <f>tblDonnées[[#This Row],[MONTANT OPERATION]]+tblDonnées[[#This Row],[POS  FUSIONNEE CPTE AVANT OP]]</f>
        <v>0</v>
      </c>
      <c r="O238" s="17" t="str">
        <f>IF(ISBLANK(tblDonnées[[#This Row],[MONTANT AUTO]]), "N/A", ABS(tblDonnées[[#This Row],[POS  FUSIONNEE CPTE APRES OP]])-ABS(tblDonnées[[#This Row],[MONTANT AUTO]]))</f>
        <v>N/A</v>
      </c>
      <c r="P238" s="39" t="e">
        <f>tblDonnées[[#This Row],[DEPASSEMENT TOTAL SUR AUTO
]]/-tblDonnées[[#This Row],[MONTANT AUTO]]</f>
        <v>#VALUE!</v>
      </c>
      <c r="Q238" s="33"/>
      <c r="R238" s="33"/>
      <c r="S238" s="33"/>
      <c r="T238" s="40">
        <f>IF(tblDonnées[[#This Row],[0,5% du dép]]&lt;5000,5000,IF(tblDonnées[[#This Row],[0,5% du dép]]&gt;50000,50000,tblDonnées[[#This Row],[0,5% du dép]]))</f>
        <v>5000</v>
      </c>
      <c r="U238" s="10">
        <f>ABS(tblDonnées[[#This Row],[MONTANT DEPASSEMENT]]*0.005)</f>
        <v>0</v>
      </c>
      <c r="V238" s="33"/>
      <c r="W238" s="33"/>
      <c r="X238" s="33"/>
      <c r="Y238" s="33"/>
      <c r="Z238" s="33"/>
    </row>
    <row r="239" spans="1:26" x14ac:dyDescent="0.25">
      <c r="A239" s="33"/>
      <c r="B239" s="12"/>
      <c r="C239" s="33"/>
      <c r="D239" s="41"/>
      <c r="H239" s="21"/>
      <c r="I239" s="33"/>
      <c r="J239" s="42"/>
      <c r="K239" s="43"/>
      <c r="L239" s="44"/>
      <c r="M23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39" s="38">
        <f>tblDonnées[[#This Row],[MONTANT OPERATION]]+tblDonnées[[#This Row],[POS  FUSIONNEE CPTE AVANT OP]]</f>
        <v>0</v>
      </c>
      <c r="O239" s="17" t="str">
        <f>IF(ISBLANK(tblDonnées[[#This Row],[MONTANT AUTO]]), "N/A", ABS(tblDonnées[[#This Row],[POS  FUSIONNEE CPTE APRES OP]])-ABS(tblDonnées[[#This Row],[MONTANT AUTO]]))</f>
        <v>N/A</v>
      </c>
      <c r="P239" s="39" t="e">
        <f>tblDonnées[[#This Row],[DEPASSEMENT TOTAL SUR AUTO
]]/-tblDonnées[[#This Row],[MONTANT AUTO]]</f>
        <v>#VALUE!</v>
      </c>
      <c r="Q239" s="33"/>
      <c r="R239" s="33"/>
      <c r="S239" s="33"/>
      <c r="T239" s="40">
        <f>IF(tblDonnées[[#This Row],[0,5% du dép]]&lt;5000,5000,IF(tblDonnées[[#This Row],[0,5% du dép]]&gt;50000,50000,tblDonnées[[#This Row],[0,5% du dép]]))</f>
        <v>5000</v>
      </c>
      <c r="U239" s="10">
        <f>ABS(tblDonnées[[#This Row],[MONTANT DEPASSEMENT]]*0.005)</f>
        <v>0</v>
      </c>
      <c r="V239" s="33"/>
      <c r="W239" s="33"/>
      <c r="X239" s="33"/>
      <c r="Y239" s="33"/>
      <c r="Z239" s="33"/>
    </row>
    <row r="240" spans="1:26" x14ac:dyDescent="0.25">
      <c r="A240" s="33"/>
      <c r="B240" s="12"/>
      <c r="C240" s="33"/>
      <c r="D240" s="41"/>
      <c r="H240" s="21"/>
      <c r="I240" s="33"/>
      <c r="J240" s="42"/>
      <c r="K240" s="43"/>
      <c r="L240" s="44"/>
      <c r="M24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40" s="38">
        <f>tblDonnées[[#This Row],[MONTANT OPERATION]]+tblDonnées[[#This Row],[POS  FUSIONNEE CPTE AVANT OP]]</f>
        <v>0</v>
      </c>
      <c r="O240" s="17" t="str">
        <f>IF(ISBLANK(tblDonnées[[#This Row],[MONTANT AUTO]]), "N/A", ABS(tblDonnées[[#This Row],[POS  FUSIONNEE CPTE APRES OP]])-ABS(tblDonnées[[#This Row],[MONTANT AUTO]]))</f>
        <v>N/A</v>
      </c>
      <c r="P240" s="39" t="e">
        <f>tblDonnées[[#This Row],[DEPASSEMENT TOTAL SUR AUTO
]]/-tblDonnées[[#This Row],[MONTANT AUTO]]</f>
        <v>#VALUE!</v>
      </c>
      <c r="Q240" s="33"/>
      <c r="R240" s="33"/>
      <c r="S240" s="33"/>
      <c r="T240" s="40">
        <f>IF(tblDonnées[[#This Row],[0,5% du dép]]&lt;5000,5000,IF(tblDonnées[[#This Row],[0,5% du dép]]&gt;50000,50000,tblDonnées[[#This Row],[0,5% du dép]]))</f>
        <v>5000</v>
      </c>
      <c r="U240" s="10">
        <f>ABS(tblDonnées[[#This Row],[MONTANT DEPASSEMENT]]*0.005)</f>
        <v>0</v>
      </c>
      <c r="V240" s="33"/>
      <c r="W240" s="33"/>
      <c r="X240" s="33"/>
      <c r="Y240" s="33"/>
      <c r="Z240" s="33"/>
    </row>
    <row r="241" spans="1:26" x14ac:dyDescent="0.25">
      <c r="A241" s="33"/>
      <c r="B241" s="12"/>
      <c r="C241" s="33"/>
      <c r="D241" s="41"/>
      <c r="H241" s="21"/>
      <c r="I241" s="33"/>
      <c r="J241" s="42"/>
      <c r="K241" s="43"/>
      <c r="L241" s="44"/>
      <c r="M24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41" s="38">
        <f>tblDonnées[[#This Row],[MONTANT OPERATION]]+tblDonnées[[#This Row],[POS  FUSIONNEE CPTE AVANT OP]]</f>
        <v>0</v>
      </c>
      <c r="O241" s="17" t="str">
        <f>IF(ISBLANK(tblDonnées[[#This Row],[MONTANT AUTO]]), "N/A", ABS(tblDonnées[[#This Row],[POS  FUSIONNEE CPTE APRES OP]])-ABS(tblDonnées[[#This Row],[MONTANT AUTO]]))</f>
        <v>N/A</v>
      </c>
      <c r="P241" s="39" t="e">
        <f>tblDonnées[[#This Row],[DEPASSEMENT TOTAL SUR AUTO
]]/-tblDonnées[[#This Row],[MONTANT AUTO]]</f>
        <v>#VALUE!</v>
      </c>
      <c r="Q241" s="33"/>
      <c r="R241" s="33"/>
      <c r="S241" s="33"/>
      <c r="T241" s="40">
        <f>IF(tblDonnées[[#This Row],[0,5% du dép]]&lt;5000,5000,IF(tblDonnées[[#This Row],[0,5% du dép]]&gt;50000,50000,tblDonnées[[#This Row],[0,5% du dép]]))</f>
        <v>5000</v>
      </c>
      <c r="U241" s="10">
        <f>ABS(tblDonnées[[#This Row],[MONTANT DEPASSEMENT]]*0.005)</f>
        <v>0</v>
      </c>
      <c r="V241" s="33"/>
      <c r="W241" s="33"/>
      <c r="X241" s="33"/>
      <c r="Y241" s="33"/>
      <c r="Z241" s="33"/>
    </row>
    <row r="242" spans="1:26" x14ac:dyDescent="0.25">
      <c r="A242" s="33"/>
      <c r="B242" s="12"/>
      <c r="C242" s="33"/>
      <c r="D242" s="41"/>
      <c r="H242" s="21"/>
      <c r="I242" s="33"/>
      <c r="J242" s="42"/>
      <c r="K242" s="43"/>
      <c r="L242" s="44"/>
      <c r="M24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42" s="38">
        <f>tblDonnées[[#This Row],[MONTANT OPERATION]]+tblDonnées[[#This Row],[POS  FUSIONNEE CPTE AVANT OP]]</f>
        <v>0</v>
      </c>
      <c r="O242" s="17" t="str">
        <f>IF(ISBLANK(tblDonnées[[#This Row],[MONTANT AUTO]]), "N/A", ABS(tblDonnées[[#This Row],[POS  FUSIONNEE CPTE APRES OP]])-ABS(tblDonnées[[#This Row],[MONTANT AUTO]]))</f>
        <v>N/A</v>
      </c>
      <c r="P242" s="39" t="e">
        <f>tblDonnées[[#This Row],[DEPASSEMENT TOTAL SUR AUTO
]]/-tblDonnées[[#This Row],[MONTANT AUTO]]</f>
        <v>#VALUE!</v>
      </c>
      <c r="Q242" s="33"/>
      <c r="R242" s="33"/>
      <c r="S242" s="33"/>
      <c r="T242" s="40">
        <f>IF(tblDonnées[[#This Row],[0,5% du dép]]&lt;5000,5000,IF(tblDonnées[[#This Row],[0,5% du dép]]&gt;50000,50000,tblDonnées[[#This Row],[0,5% du dép]]))</f>
        <v>5000</v>
      </c>
      <c r="U242" s="10">
        <f>ABS(tblDonnées[[#This Row],[MONTANT DEPASSEMENT]]*0.005)</f>
        <v>0</v>
      </c>
      <c r="V242" s="33"/>
      <c r="W242" s="33"/>
      <c r="X242" s="33"/>
      <c r="Y242" s="33"/>
      <c r="Z242" s="33"/>
    </row>
    <row r="243" spans="1:26" x14ac:dyDescent="0.25">
      <c r="A243" s="33"/>
      <c r="B243" s="12"/>
      <c r="C243" s="33"/>
      <c r="D243" s="41"/>
      <c r="H243" s="21"/>
      <c r="I243" s="33"/>
      <c r="J243" s="42"/>
      <c r="K243" s="43"/>
      <c r="L243" s="44"/>
      <c r="M24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43" s="38">
        <f>tblDonnées[[#This Row],[MONTANT OPERATION]]+tblDonnées[[#This Row],[POS  FUSIONNEE CPTE AVANT OP]]</f>
        <v>0</v>
      </c>
      <c r="O243" s="17" t="str">
        <f>IF(ISBLANK(tblDonnées[[#This Row],[MONTANT AUTO]]), "N/A", ABS(tblDonnées[[#This Row],[POS  FUSIONNEE CPTE APRES OP]])-ABS(tblDonnées[[#This Row],[MONTANT AUTO]]))</f>
        <v>N/A</v>
      </c>
      <c r="P243" s="39" t="e">
        <f>tblDonnées[[#This Row],[DEPASSEMENT TOTAL SUR AUTO
]]/-tblDonnées[[#This Row],[MONTANT AUTO]]</f>
        <v>#VALUE!</v>
      </c>
      <c r="Q243" s="33"/>
      <c r="R243" s="33"/>
      <c r="S243" s="33"/>
      <c r="T243" s="40">
        <f>IF(tblDonnées[[#This Row],[0,5% du dép]]&lt;5000,5000,IF(tblDonnées[[#This Row],[0,5% du dép]]&gt;50000,50000,tblDonnées[[#This Row],[0,5% du dép]]))</f>
        <v>5000</v>
      </c>
      <c r="U243" s="10">
        <f>ABS(tblDonnées[[#This Row],[MONTANT DEPASSEMENT]]*0.005)</f>
        <v>0</v>
      </c>
      <c r="V243" s="33"/>
      <c r="W243" s="33"/>
      <c r="X243" s="33"/>
      <c r="Y243" s="33"/>
      <c r="Z243" s="33"/>
    </row>
    <row r="244" spans="1:26" x14ac:dyDescent="0.25">
      <c r="A244" s="33"/>
      <c r="B244" s="12"/>
      <c r="C244" s="33"/>
      <c r="D244" s="41"/>
      <c r="H244" s="21"/>
      <c r="I244" s="33"/>
      <c r="J244" s="42"/>
      <c r="K244" s="43"/>
      <c r="L244" s="44"/>
      <c r="M24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44" s="38">
        <f>tblDonnées[[#This Row],[MONTANT OPERATION]]+tblDonnées[[#This Row],[POS  FUSIONNEE CPTE AVANT OP]]</f>
        <v>0</v>
      </c>
      <c r="O244" s="17" t="str">
        <f>IF(ISBLANK(tblDonnées[[#This Row],[MONTANT AUTO]]), "N/A", ABS(tblDonnées[[#This Row],[POS  FUSIONNEE CPTE APRES OP]])-ABS(tblDonnées[[#This Row],[MONTANT AUTO]]))</f>
        <v>N/A</v>
      </c>
      <c r="P244" s="39" t="e">
        <f>tblDonnées[[#This Row],[DEPASSEMENT TOTAL SUR AUTO
]]/-tblDonnées[[#This Row],[MONTANT AUTO]]</f>
        <v>#VALUE!</v>
      </c>
      <c r="Q244" s="33"/>
      <c r="R244" s="33"/>
      <c r="S244" s="33"/>
      <c r="T244" s="40">
        <f>IF(tblDonnées[[#This Row],[0,5% du dép]]&lt;5000,5000,IF(tblDonnées[[#This Row],[0,5% du dép]]&gt;50000,50000,tblDonnées[[#This Row],[0,5% du dép]]))</f>
        <v>5000</v>
      </c>
      <c r="U244" s="10">
        <f>ABS(tblDonnées[[#This Row],[MONTANT DEPASSEMENT]]*0.005)</f>
        <v>0</v>
      </c>
      <c r="V244" s="33"/>
      <c r="W244" s="33"/>
      <c r="X244" s="33"/>
      <c r="Y244" s="33"/>
      <c r="Z244" s="33"/>
    </row>
    <row r="245" spans="1:26" x14ac:dyDescent="0.25">
      <c r="A245" s="33"/>
      <c r="B245" s="12"/>
      <c r="C245" s="33"/>
      <c r="D245" s="41"/>
      <c r="H245" s="21"/>
      <c r="I245" s="33"/>
      <c r="J245" s="42"/>
      <c r="K245" s="43"/>
      <c r="L245" s="44"/>
      <c r="M24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45" s="38">
        <f>tblDonnées[[#This Row],[MONTANT OPERATION]]+tblDonnées[[#This Row],[POS  FUSIONNEE CPTE AVANT OP]]</f>
        <v>0</v>
      </c>
      <c r="O245" s="17" t="str">
        <f>IF(ISBLANK(tblDonnées[[#This Row],[MONTANT AUTO]]), "N/A", ABS(tblDonnées[[#This Row],[POS  FUSIONNEE CPTE APRES OP]])-ABS(tblDonnées[[#This Row],[MONTANT AUTO]]))</f>
        <v>N/A</v>
      </c>
      <c r="P245" s="39" t="e">
        <f>tblDonnées[[#This Row],[DEPASSEMENT TOTAL SUR AUTO
]]/-tblDonnées[[#This Row],[MONTANT AUTO]]</f>
        <v>#VALUE!</v>
      </c>
      <c r="Q245" s="33"/>
      <c r="R245" s="33"/>
      <c r="S245" s="33"/>
      <c r="T245" s="40">
        <f>IF(tblDonnées[[#This Row],[0,5% du dép]]&lt;5000,5000,IF(tblDonnées[[#This Row],[0,5% du dép]]&gt;50000,50000,tblDonnées[[#This Row],[0,5% du dép]]))</f>
        <v>5000</v>
      </c>
      <c r="U245" s="10">
        <f>ABS(tblDonnées[[#This Row],[MONTANT DEPASSEMENT]]*0.005)</f>
        <v>0</v>
      </c>
      <c r="V245" s="33"/>
      <c r="W245" s="33"/>
      <c r="X245" s="33"/>
      <c r="Y245" s="33"/>
      <c r="Z245" s="33"/>
    </row>
    <row r="246" spans="1:26" x14ac:dyDescent="0.25">
      <c r="A246" s="33"/>
      <c r="B246" s="12"/>
      <c r="C246" s="33"/>
      <c r="D246" s="41"/>
      <c r="H246" s="21"/>
      <c r="I246" s="33"/>
      <c r="J246" s="42"/>
      <c r="K246" s="43"/>
      <c r="L246" s="44"/>
      <c r="M24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46" s="38">
        <f>tblDonnées[[#This Row],[MONTANT OPERATION]]+tblDonnées[[#This Row],[POS  FUSIONNEE CPTE AVANT OP]]</f>
        <v>0</v>
      </c>
      <c r="O246" s="17" t="str">
        <f>IF(ISBLANK(tblDonnées[[#This Row],[MONTANT AUTO]]), "N/A", ABS(tblDonnées[[#This Row],[POS  FUSIONNEE CPTE APRES OP]])-ABS(tblDonnées[[#This Row],[MONTANT AUTO]]))</f>
        <v>N/A</v>
      </c>
      <c r="P246" s="39" t="e">
        <f>tblDonnées[[#This Row],[DEPASSEMENT TOTAL SUR AUTO
]]/-tblDonnées[[#This Row],[MONTANT AUTO]]</f>
        <v>#VALUE!</v>
      </c>
      <c r="Q246" s="33"/>
      <c r="R246" s="33"/>
      <c r="S246" s="33"/>
      <c r="T246" s="40">
        <f>IF(tblDonnées[[#This Row],[0,5% du dép]]&lt;5000,5000,IF(tblDonnées[[#This Row],[0,5% du dép]]&gt;50000,50000,tblDonnées[[#This Row],[0,5% du dép]]))</f>
        <v>5000</v>
      </c>
      <c r="U246" s="10">
        <f>ABS(tblDonnées[[#This Row],[MONTANT DEPASSEMENT]]*0.005)</f>
        <v>0</v>
      </c>
      <c r="V246" s="33"/>
      <c r="W246" s="33"/>
      <c r="X246" s="33"/>
      <c r="Y246" s="33"/>
      <c r="Z246" s="33"/>
    </row>
    <row r="247" spans="1:26" x14ac:dyDescent="0.25">
      <c r="A247" s="33"/>
      <c r="B247" s="12"/>
      <c r="C247" s="33"/>
      <c r="D247" s="41"/>
      <c r="H247" s="21"/>
      <c r="I247" s="33"/>
      <c r="J247" s="42"/>
      <c r="K247" s="43"/>
      <c r="L247" s="44"/>
      <c r="M24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47" s="38">
        <f>tblDonnées[[#This Row],[MONTANT OPERATION]]+tblDonnées[[#This Row],[POS  FUSIONNEE CPTE AVANT OP]]</f>
        <v>0</v>
      </c>
      <c r="O247" s="17" t="str">
        <f>IF(ISBLANK(tblDonnées[[#This Row],[MONTANT AUTO]]), "N/A", ABS(tblDonnées[[#This Row],[POS  FUSIONNEE CPTE APRES OP]])-ABS(tblDonnées[[#This Row],[MONTANT AUTO]]))</f>
        <v>N/A</v>
      </c>
      <c r="P247" s="39" t="e">
        <f>tblDonnées[[#This Row],[DEPASSEMENT TOTAL SUR AUTO
]]/-tblDonnées[[#This Row],[MONTANT AUTO]]</f>
        <v>#VALUE!</v>
      </c>
      <c r="Q247" s="33"/>
      <c r="R247" s="33"/>
      <c r="S247" s="33"/>
      <c r="T247" s="40">
        <f>IF(tblDonnées[[#This Row],[0,5% du dép]]&lt;5000,5000,IF(tblDonnées[[#This Row],[0,5% du dép]]&gt;50000,50000,tblDonnées[[#This Row],[0,5% du dép]]))</f>
        <v>5000</v>
      </c>
      <c r="U247" s="10">
        <f>ABS(tblDonnées[[#This Row],[MONTANT DEPASSEMENT]]*0.005)</f>
        <v>0</v>
      </c>
      <c r="V247" s="33"/>
      <c r="W247" s="33"/>
      <c r="X247" s="33"/>
      <c r="Y247" s="33"/>
      <c r="Z247" s="33"/>
    </row>
    <row r="248" spans="1:26" x14ac:dyDescent="0.25">
      <c r="A248" s="33"/>
      <c r="B248" s="12"/>
      <c r="C248" s="33"/>
      <c r="D248" s="41"/>
      <c r="H248" s="21"/>
      <c r="I248" s="33"/>
      <c r="J248" s="42"/>
      <c r="K248" s="43"/>
      <c r="L248" s="44"/>
      <c r="M24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48" s="38">
        <f>tblDonnées[[#This Row],[MONTANT OPERATION]]+tblDonnées[[#This Row],[POS  FUSIONNEE CPTE AVANT OP]]</f>
        <v>0</v>
      </c>
      <c r="O248" s="17" t="str">
        <f>IF(ISBLANK(tblDonnées[[#This Row],[MONTANT AUTO]]), "N/A", ABS(tblDonnées[[#This Row],[POS  FUSIONNEE CPTE APRES OP]])-ABS(tblDonnées[[#This Row],[MONTANT AUTO]]))</f>
        <v>N/A</v>
      </c>
      <c r="P248" s="39" t="e">
        <f>tblDonnées[[#This Row],[DEPASSEMENT TOTAL SUR AUTO
]]/-tblDonnées[[#This Row],[MONTANT AUTO]]</f>
        <v>#VALUE!</v>
      </c>
      <c r="Q248" s="33"/>
      <c r="R248" s="33"/>
      <c r="S248" s="33"/>
      <c r="T248" s="40">
        <f>IF(tblDonnées[[#This Row],[0,5% du dép]]&lt;5000,5000,IF(tblDonnées[[#This Row],[0,5% du dép]]&gt;50000,50000,tblDonnées[[#This Row],[0,5% du dép]]))</f>
        <v>5000</v>
      </c>
      <c r="U248" s="10">
        <f>ABS(tblDonnées[[#This Row],[MONTANT DEPASSEMENT]]*0.005)</f>
        <v>0</v>
      </c>
      <c r="V248" s="33"/>
      <c r="W248" s="33"/>
      <c r="X248" s="33"/>
      <c r="Y248" s="33"/>
      <c r="Z248" s="33"/>
    </row>
    <row r="249" spans="1:26" x14ac:dyDescent="0.25">
      <c r="A249" s="33"/>
      <c r="B249" s="12"/>
      <c r="C249" s="33"/>
      <c r="D249" s="41"/>
      <c r="H249" s="21"/>
      <c r="I249" s="33"/>
      <c r="J249" s="42"/>
      <c r="K249" s="43"/>
      <c r="L249" s="44"/>
      <c r="M24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49" s="38">
        <f>tblDonnées[[#This Row],[MONTANT OPERATION]]+tblDonnées[[#This Row],[POS  FUSIONNEE CPTE AVANT OP]]</f>
        <v>0</v>
      </c>
      <c r="O249" s="17" t="str">
        <f>IF(ISBLANK(tblDonnées[[#This Row],[MONTANT AUTO]]), "N/A", ABS(tblDonnées[[#This Row],[POS  FUSIONNEE CPTE APRES OP]])-ABS(tblDonnées[[#This Row],[MONTANT AUTO]]))</f>
        <v>N/A</v>
      </c>
      <c r="P249" s="39" t="e">
        <f>tblDonnées[[#This Row],[DEPASSEMENT TOTAL SUR AUTO
]]/-tblDonnées[[#This Row],[MONTANT AUTO]]</f>
        <v>#VALUE!</v>
      </c>
      <c r="Q249" s="33"/>
      <c r="R249" s="33"/>
      <c r="S249" s="33"/>
      <c r="T249" s="40">
        <f>IF(tblDonnées[[#This Row],[0,5% du dép]]&lt;5000,5000,IF(tblDonnées[[#This Row],[0,5% du dép]]&gt;50000,50000,tblDonnées[[#This Row],[0,5% du dép]]))</f>
        <v>5000</v>
      </c>
      <c r="U249" s="10">
        <f>ABS(tblDonnées[[#This Row],[MONTANT DEPASSEMENT]]*0.005)</f>
        <v>0</v>
      </c>
      <c r="V249" s="33"/>
      <c r="W249" s="33"/>
      <c r="X249" s="33"/>
      <c r="Y249" s="33"/>
      <c r="Z249" s="33"/>
    </row>
    <row r="250" spans="1:26" x14ac:dyDescent="0.25">
      <c r="A250" s="33"/>
      <c r="B250" s="12"/>
      <c r="C250" s="33"/>
      <c r="D250" s="41"/>
      <c r="H250" s="21"/>
      <c r="I250" s="33"/>
      <c r="J250" s="42"/>
      <c r="K250" s="43"/>
      <c r="L250" s="44"/>
      <c r="M25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50" s="38">
        <f>tblDonnées[[#This Row],[MONTANT OPERATION]]+tblDonnées[[#This Row],[POS  FUSIONNEE CPTE AVANT OP]]</f>
        <v>0</v>
      </c>
      <c r="O250" s="17" t="str">
        <f>IF(ISBLANK(tblDonnées[[#This Row],[MONTANT AUTO]]), "N/A", ABS(tblDonnées[[#This Row],[POS  FUSIONNEE CPTE APRES OP]])-ABS(tblDonnées[[#This Row],[MONTANT AUTO]]))</f>
        <v>N/A</v>
      </c>
      <c r="P250" s="39" t="e">
        <f>tblDonnées[[#This Row],[DEPASSEMENT TOTAL SUR AUTO
]]/-tblDonnées[[#This Row],[MONTANT AUTO]]</f>
        <v>#VALUE!</v>
      </c>
      <c r="Q250" s="33"/>
      <c r="R250" s="33"/>
      <c r="S250" s="33"/>
      <c r="T250" s="40">
        <f>IF(tblDonnées[[#This Row],[0,5% du dép]]&lt;5000,5000,IF(tblDonnées[[#This Row],[0,5% du dép]]&gt;50000,50000,tblDonnées[[#This Row],[0,5% du dép]]))</f>
        <v>5000</v>
      </c>
      <c r="U250" s="10">
        <f>ABS(tblDonnées[[#This Row],[MONTANT DEPASSEMENT]]*0.005)</f>
        <v>0</v>
      </c>
      <c r="V250" s="33"/>
      <c r="W250" s="33"/>
      <c r="X250" s="33"/>
      <c r="Y250" s="33"/>
      <c r="Z250" s="33"/>
    </row>
    <row r="251" spans="1:26" x14ac:dyDescent="0.25">
      <c r="A251" s="33"/>
      <c r="B251" s="12"/>
      <c r="C251" s="33"/>
      <c r="D251" s="41"/>
      <c r="H251" s="21"/>
      <c r="I251" s="33"/>
      <c r="J251" s="42"/>
      <c r="K251" s="43"/>
      <c r="L251" s="44"/>
      <c r="M25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51" s="38">
        <f>tblDonnées[[#This Row],[MONTANT OPERATION]]+tblDonnées[[#This Row],[POS  FUSIONNEE CPTE AVANT OP]]</f>
        <v>0</v>
      </c>
      <c r="O251" s="17" t="str">
        <f>IF(ISBLANK(tblDonnées[[#This Row],[MONTANT AUTO]]), "N/A", ABS(tblDonnées[[#This Row],[POS  FUSIONNEE CPTE APRES OP]])-ABS(tblDonnées[[#This Row],[MONTANT AUTO]]))</f>
        <v>N/A</v>
      </c>
      <c r="P251" s="39" t="e">
        <f>tblDonnées[[#This Row],[DEPASSEMENT TOTAL SUR AUTO
]]/-tblDonnées[[#This Row],[MONTANT AUTO]]</f>
        <v>#VALUE!</v>
      </c>
      <c r="Q251" s="33"/>
      <c r="R251" s="33"/>
      <c r="S251" s="33"/>
      <c r="T251" s="40">
        <f>IF(tblDonnées[[#This Row],[0,5% du dép]]&lt;5000,5000,IF(tblDonnées[[#This Row],[0,5% du dép]]&gt;50000,50000,tblDonnées[[#This Row],[0,5% du dép]]))</f>
        <v>5000</v>
      </c>
      <c r="U251" s="10">
        <f>ABS(tblDonnées[[#This Row],[MONTANT DEPASSEMENT]]*0.005)</f>
        <v>0</v>
      </c>
      <c r="V251" s="33"/>
      <c r="W251" s="33"/>
      <c r="X251" s="33"/>
      <c r="Y251" s="33"/>
      <c r="Z251" s="33"/>
    </row>
    <row r="252" spans="1:26" x14ac:dyDescent="0.25">
      <c r="A252" s="33"/>
      <c r="B252" s="12"/>
      <c r="C252" s="33"/>
      <c r="D252" s="41"/>
      <c r="H252" s="21"/>
      <c r="I252" s="33"/>
      <c r="J252" s="42"/>
      <c r="K252" s="43"/>
      <c r="L252" s="44"/>
      <c r="M25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52" s="38">
        <f>tblDonnées[[#This Row],[MONTANT OPERATION]]+tblDonnées[[#This Row],[POS  FUSIONNEE CPTE AVANT OP]]</f>
        <v>0</v>
      </c>
      <c r="O252" s="17" t="str">
        <f>IF(ISBLANK(tblDonnées[[#This Row],[MONTANT AUTO]]), "N/A", ABS(tblDonnées[[#This Row],[POS  FUSIONNEE CPTE APRES OP]])-ABS(tblDonnées[[#This Row],[MONTANT AUTO]]))</f>
        <v>N/A</v>
      </c>
      <c r="P252" s="39" t="e">
        <f>tblDonnées[[#This Row],[DEPASSEMENT TOTAL SUR AUTO
]]/-tblDonnées[[#This Row],[MONTANT AUTO]]</f>
        <v>#VALUE!</v>
      </c>
      <c r="Q252" s="33"/>
      <c r="R252" s="33"/>
      <c r="S252" s="33"/>
      <c r="T252" s="40">
        <f>IF(tblDonnées[[#This Row],[0,5% du dép]]&lt;5000,5000,IF(tblDonnées[[#This Row],[0,5% du dép]]&gt;50000,50000,tblDonnées[[#This Row],[0,5% du dép]]))</f>
        <v>5000</v>
      </c>
      <c r="U252" s="10">
        <f>ABS(tblDonnées[[#This Row],[MONTANT DEPASSEMENT]]*0.005)</f>
        <v>0</v>
      </c>
      <c r="V252" s="33"/>
      <c r="W252" s="33"/>
      <c r="X252" s="33"/>
      <c r="Y252" s="33"/>
      <c r="Z252" s="33"/>
    </row>
    <row r="253" spans="1:26" x14ac:dyDescent="0.25">
      <c r="A253" s="33"/>
      <c r="B253" s="12"/>
      <c r="C253" s="33"/>
      <c r="D253" s="41"/>
      <c r="H253" s="21"/>
      <c r="I253" s="33"/>
      <c r="J253" s="42"/>
      <c r="K253" s="43"/>
      <c r="L253" s="44"/>
      <c r="M25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53" s="38">
        <f>tblDonnées[[#This Row],[MONTANT OPERATION]]+tblDonnées[[#This Row],[POS  FUSIONNEE CPTE AVANT OP]]</f>
        <v>0</v>
      </c>
      <c r="O253" s="17" t="str">
        <f>IF(ISBLANK(tblDonnées[[#This Row],[MONTANT AUTO]]), "N/A", ABS(tblDonnées[[#This Row],[POS  FUSIONNEE CPTE APRES OP]])-ABS(tblDonnées[[#This Row],[MONTANT AUTO]]))</f>
        <v>N/A</v>
      </c>
      <c r="P253" s="39" t="e">
        <f>tblDonnées[[#This Row],[DEPASSEMENT TOTAL SUR AUTO
]]/-tblDonnées[[#This Row],[MONTANT AUTO]]</f>
        <v>#VALUE!</v>
      </c>
      <c r="Q253" s="33"/>
      <c r="R253" s="33"/>
      <c r="S253" s="33"/>
      <c r="T253" s="40">
        <f>IF(tblDonnées[[#This Row],[0,5% du dép]]&lt;5000,5000,IF(tblDonnées[[#This Row],[0,5% du dép]]&gt;50000,50000,tblDonnées[[#This Row],[0,5% du dép]]))</f>
        <v>5000</v>
      </c>
      <c r="U253" s="10">
        <f>ABS(tblDonnées[[#This Row],[MONTANT DEPASSEMENT]]*0.005)</f>
        <v>0</v>
      </c>
      <c r="V253" s="33"/>
      <c r="W253" s="33"/>
      <c r="X253" s="33"/>
      <c r="Y253" s="33"/>
      <c r="Z253" s="33"/>
    </row>
    <row r="254" spans="1:26" x14ac:dyDescent="0.25">
      <c r="A254" s="33"/>
      <c r="B254" s="12"/>
      <c r="C254" s="33"/>
      <c r="D254" s="41"/>
      <c r="H254" s="21"/>
      <c r="I254" s="33"/>
      <c r="J254" s="42"/>
      <c r="K254" s="43"/>
      <c r="L254" s="44"/>
      <c r="M25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54" s="38">
        <f>tblDonnées[[#This Row],[MONTANT OPERATION]]+tblDonnées[[#This Row],[POS  FUSIONNEE CPTE AVANT OP]]</f>
        <v>0</v>
      </c>
      <c r="O254" s="17" t="str">
        <f>IF(ISBLANK(tblDonnées[[#This Row],[MONTANT AUTO]]), "N/A", ABS(tblDonnées[[#This Row],[POS  FUSIONNEE CPTE APRES OP]])-ABS(tblDonnées[[#This Row],[MONTANT AUTO]]))</f>
        <v>N/A</v>
      </c>
      <c r="P254" s="39" t="e">
        <f>tblDonnées[[#This Row],[DEPASSEMENT TOTAL SUR AUTO
]]/-tblDonnées[[#This Row],[MONTANT AUTO]]</f>
        <v>#VALUE!</v>
      </c>
      <c r="Q254" s="33"/>
      <c r="R254" s="33"/>
      <c r="S254" s="33"/>
      <c r="T254" s="40">
        <f>IF(tblDonnées[[#This Row],[0,5% du dép]]&lt;5000,5000,IF(tblDonnées[[#This Row],[0,5% du dép]]&gt;50000,50000,tblDonnées[[#This Row],[0,5% du dép]]))</f>
        <v>5000</v>
      </c>
      <c r="U254" s="10">
        <f>ABS(tblDonnées[[#This Row],[MONTANT DEPASSEMENT]]*0.005)</f>
        <v>0</v>
      </c>
      <c r="V254" s="33"/>
      <c r="W254" s="33"/>
      <c r="X254" s="33"/>
      <c r="Y254" s="33"/>
      <c r="Z254" s="33"/>
    </row>
    <row r="255" spans="1:26" x14ac:dyDescent="0.25">
      <c r="A255" s="33"/>
      <c r="B255" s="12"/>
      <c r="C255" s="33"/>
      <c r="D255" s="41"/>
      <c r="H255" s="21"/>
      <c r="I255" s="33"/>
      <c r="J255" s="42"/>
      <c r="K255" s="43"/>
      <c r="L255" s="44"/>
      <c r="M25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55" s="38">
        <f>tblDonnées[[#This Row],[MONTANT OPERATION]]+tblDonnées[[#This Row],[POS  FUSIONNEE CPTE AVANT OP]]</f>
        <v>0</v>
      </c>
      <c r="O255" s="17" t="str">
        <f>IF(ISBLANK(tblDonnées[[#This Row],[MONTANT AUTO]]), "N/A", ABS(tblDonnées[[#This Row],[POS  FUSIONNEE CPTE APRES OP]])-ABS(tblDonnées[[#This Row],[MONTANT AUTO]]))</f>
        <v>N/A</v>
      </c>
      <c r="P255" s="39" t="e">
        <f>tblDonnées[[#This Row],[DEPASSEMENT TOTAL SUR AUTO
]]/-tblDonnées[[#This Row],[MONTANT AUTO]]</f>
        <v>#VALUE!</v>
      </c>
      <c r="Q255" s="33"/>
      <c r="R255" s="33"/>
      <c r="S255" s="33"/>
      <c r="T255" s="40">
        <f>IF(tblDonnées[[#This Row],[0,5% du dép]]&lt;5000,5000,IF(tblDonnées[[#This Row],[0,5% du dép]]&gt;50000,50000,tblDonnées[[#This Row],[0,5% du dép]]))</f>
        <v>5000</v>
      </c>
      <c r="U255" s="10">
        <f>ABS(tblDonnées[[#This Row],[MONTANT DEPASSEMENT]]*0.005)</f>
        <v>0</v>
      </c>
      <c r="V255" s="33"/>
      <c r="W255" s="33"/>
      <c r="X255" s="33"/>
      <c r="Y255" s="33"/>
      <c r="Z255" s="33"/>
    </row>
    <row r="256" spans="1:26" x14ac:dyDescent="0.25">
      <c r="A256" s="33"/>
      <c r="B256" s="12"/>
      <c r="C256" s="33"/>
      <c r="D256" s="41"/>
      <c r="H256" s="21"/>
      <c r="I256" s="33"/>
      <c r="J256" s="42"/>
      <c r="K256" s="43"/>
      <c r="L256" s="44"/>
      <c r="M25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56" s="38">
        <f>tblDonnées[[#This Row],[MONTANT OPERATION]]+tblDonnées[[#This Row],[POS  FUSIONNEE CPTE AVANT OP]]</f>
        <v>0</v>
      </c>
      <c r="O256" s="17" t="str">
        <f>IF(ISBLANK(tblDonnées[[#This Row],[MONTANT AUTO]]), "N/A", ABS(tblDonnées[[#This Row],[POS  FUSIONNEE CPTE APRES OP]])-ABS(tblDonnées[[#This Row],[MONTANT AUTO]]))</f>
        <v>N/A</v>
      </c>
      <c r="P256" s="39" t="e">
        <f>tblDonnées[[#This Row],[DEPASSEMENT TOTAL SUR AUTO
]]/-tblDonnées[[#This Row],[MONTANT AUTO]]</f>
        <v>#VALUE!</v>
      </c>
      <c r="Q256" s="33"/>
      <c r="R256" s="33"/>
      <c r="S256" s="33"/>
      <c r="T256" s="40">
        <f>IF(tblDonnées[[#This Row],[0,5% du dép]]&lt;5000,5000,IF(tblDonnées[[#This Row],[0,5% du dép]]&gt;50000,50000,tblDonnées[[#This Row],[0,5% du dép]]))</f>
        <v>5000</v>
      </c>
      <c r="U256" s="10">
        <f>ABS(tblDonnées[[#This Row],[MONTANT DEPASSEMENT]]*0.005)</f>
        <v>0</v>
      </c>
      <c r="V256" s="33"/>
      <c r="W256" s="33"/>
      <c r="X256" s="33"/>
      <c r="Y256" s="33"/>
      <c r="Z256" s="33"/>
    </row>
    <row r="257" spans="1:26" x14ac:dyDescent="0.25">
      <c r="A257" s="33"/>
      <c r="B257" s="12"/>
      <c r="C257" s="33"/>
      <c r="D257" s="41"/>
      <c r="H257" s="21"/>
      <c r="I257" s="33"/>
      <c r="J257" s="42"/>
      <c r="K257" s="43"/>
      <c r="L257" s="44"/>
      <c r="M25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57" s="38">
        <f>tblDonnées[[#This Row],[MONTANT OPERATION]]+tblDonnées[[#This Row],[POS  FUSIONNEE CPTE AVANT OP]]</f>
        <v>0</v>
      </c>
      <c r="O257" s="17" t="str">
        <f>IF(ISBLANK(tblDonnées[[#This Row],[MONTANT AUTO]]), "N/A", ABS(tblDonnées[[#This Row],[POS  FUSIONNEE CPTE APRES OP]])-ABS(tblDonnées[[#This Row],[MONTANT AUTO]]))</f>
        <v>N/A</v>
      </c>
      <c r="P257" s="39" t="e">
        <f>tblDonnées[[#This Row],[DEPASSEMENT TOTAL SUR AUTO
]]/-tblDonnées[[#This Row],[MONTANT AUTO]]</f>
        <v>#VALUE!</v>
      </c>
      <c r="Q257" s="33"/>
      <c r="R257" s="33"/>
      <c r="S257" s="33"/>
      <c r="T257" s="40">
        <f>IF(tblDonnées[[#This Row],[0,5% du dép]]&lt;5000,5000,IF(tblDonnées[[#This Row],[0,5% du dép]]&gt;50000,50000,tblDonnées[[#This Row],[0,5% du dép]]))</f>
        <v>5000</v>
      </c>
      <c r="U257" s="10">
        <f>ABS(tblDonnées[[#This Row],[MONTANT DEPASSEMENT]]*0.005)</f>
        <v>0</v>
      </c>
      <c r="V257" s="33"/>
      <c r="W257" s="33"/>
      <c r="X257" s="33"/>
      <c r="Y257" s="33"/>
      <c r="Z257" s="33"/>
    </row>
    <row r="258" spans="1:26" x14ac:dyDescent="0.25">
      <c r="A258" s="33"/>
      <c r="B258" s="12"/>
      <c r="C258" s="33"/>
      <c r="D258" s="41"/>
      <c r="H258" s="21"/>
      <c r="I258" s="33"/>
      <c r="J258" s="42"/>
      <c r="K258" s="43"/>
      <c r="L258" s="44"/>
      <c r="M25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58" s="38">
        <f>tblDonnées[[#This Row],[MONTANT OPERATION]]+tblDonnées[[#This Row],[POS  FUSIONNEE CPTE AVANT OP]]</f>
        <v>0</v>
      </c>
      <c r="O258" s="17" t="str">
        <f>IF(ISBLANK(tblDonnées[[#This Row],[MONTANT AUTO]]), "N/A", ABS(tblDonnées[[#This Row],[POS  FUSIONNEE CPTE APRES OP]])-ABS(tblDonnées[[#This Row],[MONTANT AUTO]]))</f>
        <v>N/A</v>
      </c>
      <c r="P258" s="39" t="e">
        <f>tblDonnées[[#This Row],[DEPASSEMENT TOTAL SUR AUTO
]]/-tblDonnées[[#This Row],[MONTANT AUTO]]</f>
        <v>#VALUE!</v>
      </c>
      <c r="Q258" s="33"/>
      <c r="R258" s="33"/>
      <c r="S258" s="33"/>
      <c r="T258" s="40">
        <f>IF(tblDonnées[[#This Row],[0,5% du dép]]&lt;5000,5000,IF(tblDonnées[[#This Row],[0,5% du dép]]&gt;50000,50000,tblDonnées[[#This Row],[0,5% du dép]]))</f>
        <v>5000</v>
      </c>
      <c r="U258" s="10">
        <f>ABS(tblDonnées[[#This Row],[MONTANT DEPASSEMENT]]*0.005)</f>
        <v>0</v>
      </c>
      <c r="V258" s="33"/>
      <c r="W258" s="33"/>
      <c r="X258" s="33"/>
      <c r="Y258" s="33"/>
      <c r="Z258" s="33"/>
    </row>
    <row r="259" spans="1:26" x14ac:dyDescent="0.25">
      <c r="A259" s="33"/>
      <c r="B259" s="12"/>
      <c r="C259" s="33"/>
      <c r="D259" s="41"/>
      <c r="H259" s="21"/>
      <c r="I259" s="33"/>
      <c r="J259" s="42"/>
      <c r="K259" s="43"/>
      <c r="L259" s="44"/>
      <c r="M25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59" s="38">
        <f>tblDonnées[[#This Row],[MONTANT OPERATION]]+tblDonnées[[#This Row],[POS  FUSIONNEE CPTE AVANT OP]]</f>
        <v>0</v>
      </c>
      <c r="O259" s="17" t="str">
        <f>IF(ISBLANK(tblDonnées[[#This Row],[MONTANT AUTO]]), "N/A", ABS(tblDonnées[[#This Row],[POS  FUSIONNEE CPTE APRES OP]])-ABS(tblDonnées[[#This Row],[MONTANT AUTO]]))</f>
        <v>N/A</v>
      </c>
      <c r="P259" s="39" t="e">
        <f>tblDonnées[[#This Row],[DEPASSEMENT TOTAL SUR AUTO
]]/-tblDonnées[[#This Row],[MONTANT AUTO]]</f>
        <v>#VALUE!</v>
      </c>
      <c r="Q259" s="33"/>
      <c r="R259" s="33"/>
      <c r="S259" s="33"/>
      <c r="T259" s="40">
        <f>IF(tblDonnées[[#This Row],[0,5% du dép]]&lt;5000,5000,IF(tblDonnées[[#This Row],[0,5% du dép]]&gt;50000,50000,tblDonnées[[#This Row],[0,5% du dép]]))</f>
        <v>5000</v>
      </c>
      <c r="U259" s="10">
        <f>ABS(tblDonnées[[#This Row],[MONTANT DEPASSEMENT]]*0.005)</f>
        <v>0</v>
      </c>
      <c r="V259" s="33"/>
      <c r="W259" s="33"/>
      <c r="X259" s="33"/>
      <c r="Y259" s="33"/>
      <c r="Z259" s="33"/>
    </row>
    <row r="260" spans="1:26" x14ac:dyDescent="0.25">
      <c r="A260" s="33"/>
      <c r="B260" s="12"/>
      <c r="C260" s="33"/>
      <c r="D260" s="41"/>
      <c r="H260" s="21"/>
      <c r="I260" s="33"/>
      <c r="J260" s="42"/>
      <c r="K260" s="43"/>
      <c r="L260" s="44"/>
      <c r="M26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60" s="38">
        <f>tblDonnées[[#This Row],[MONTANT OPERATION]]+tblDonnées[[#This Row],[POS  FUSIONNEE CPTE AVANT OP]]</f>
        <v>0</v>
      </c>
      <c r="O260" s="17" t="str">
        <f>IF(ISBLANK(tblDonnées[[#This Row],[MONTANT AUTO]]), "N/A", ABS(tblDonnées[[#This Row],[POS  FUSIONNEE CPTE APRES OP]])-ABS(tblDonnées[[#This Row],[MONTANT AUTO]]))</f>
        <v>N/A</v>
      </c>
      <c r="P260" s="39" t="e">
        <f>tblDonnées[[#This Row],[DEPASSEMENT TOTAL SUR AUTO
]]/-tblDonnées[[#This Row],[MONTANT AUTO]]</f>
        <v>#VALUE!</v>
      </c>
      <c r="Q260" s="33"/>
      <c r="R260" s="33"/>
      <c r="S260" s="33"/>
      <c r="T260" s="40">
        <f>IF(tblDonnées[[#This Row],[0,5% du dép]]&lt;5000,5000,IF(tblDonnées[[#This Row],[0,5% du dép]]&gt;50000,50000,tblDonnées[[#This Row],[0,5% du dép]]))</f>
        <v>5000</v>
      </c>
      <c r="U260" s="10">
        <f>ABS(tblDonnées[[#This Row],[MONTANT DEPASSEMENT]]*0.005)</f>
        <v>0</v>
      </c>
      <c r="V260" s="33"/>
      <c r="W260" s="33"/>
      <c r="X260" s="33"/>
      <c r="Y260" s="33"/>
      <c r="Z260" s="33"/>
    </row>
    <row r="261" spans="1:26" x14ac:dyDescent="0.25">
      <c r="A261" s="33"/>
      <c r="B261" s="12"/>
      <c r="C261" s="33"/>
      <c r="D261" s="41"/>
      <c r="H261" s="21"/>
      <c r="I261" s="33"/>
      <c r="J261" s="42"/>
      <c r="K261" s="43"/>
      <c r="L261" s="44"/>
      <c r="M26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61" s="38">
        <f>tblDonnées[[#This Row],[MONTANT OPERATION]]+tblDonnées[[#This Row],[POS  FUSIONNEE CPTE AVANT OP]]</f>
        <v>0</v>
      </c>
      <c r="O261" s="17" t="str">
        <f>IF(ISBLANK(tblDonnées[[#This Row],[MONTANT AUTO]]), "N/A", ABS(tblDonnées[[#This Row],[POS  FUSIONNEE CPTE APRES OP]])-ABS(tblDonnées[[#This Row],[MONTANT AUTO]]))</f>
        <v>N/A</v>
      </c>
      <c r="P261" s="39" t="e">
        <f>tblDonnées[[#This Row],[DEPASSEMENT TOTAL SUR AUTO
]]/-tblDonnées[[#This Row],[MONTANT AUTO]]</f>
        <v>#VALUE!</v>
      </c>
      <c r="Q261" s="33"/>
      <c r="R261" s="33"/>
      <c r="S261" s="33"/>
      <c r="T261" s="40">
        <f>IF(tblDonnées[[#This Row],[0,5% du dép]]&lt;5000,5000,IF(tblDonnées[[#This Row],[0,5% du dép]]&gt;50000,50000,tblDonnées[[#This Row],[0,5% du dép]]))</f>
        <v>5000</v>
      </c>
      <c r="U261" s="10">
        <f>ABS(tblDonnées[[#This Row],[MONTANT DEPASSEMENT]]*0.005)</f>
        <v>0</v>
      </c>
      <c r="V261" s="33"/>
      <c r="W261" s="33"/>
      <c r="X261" s="33"/>
      <c r="Y261" s="33"/>
      <c r="Z261" s="33"/>
    </row>
    <row r="262" spans="1:26" x14ac:dyDescent="0.25">
      <c r="A262" s="33"/>
      <c r="B262" s="12"/>
      <c r="C262" s="33"/>
      <c r="D262" s="41"/>
      <c r="H262" s="21"/>
      <c r="I262" s="33"/>
      <c r="J262" s="42"/>
      <c r="K262" s="43"/>
      <c r="L262" s="44"/>
      <c r="M26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62" s="38">
        <f>tblDonnées[[#This Row],[MONTANT OPERATION]]+tblDonnées[[#This Row],[POS  FUSIONNEE CPTE AVANT OP]]</f>
        <v>0</v>
      </c>
      <c r="O262" s="17" t="str">
        <f>IF(ISBLANK(tblDonnées[[#This Row],[MONTANT AUTO]]), "N/A", ABS(tblDonnées[[#This Row],[POS  FUSIONNEE CPTE APRES OP]])-ABS(tblDonnées[[#This Row],[MONTANT AUTO]]))</f>
        <v>N/A</v>
      </c>
      <c r="P262" s="39" t="e">
        <f>tblDonnées[[#This Row],[DEPASSEMENT TOTAL SUR AUTO
]]/-tblDonnées[[#This Row],[MONTANT AUTO]]</f>
        <v>#VALUE!</v>
      </c>
      <c r="Q262" s="33"/>
      <c r="R262" s="33"/>
      <c r="S262" s="33"/>
      <c r="T262" s="40">
        <f>IF(tblDonnées[[#This Row],[0,5% du dép]]&lt;5000,5000,IF(tblDonnées[[#This Row],[0,5% du dép]]&gt;50000,50000,tblDonnées[[#This Row],[0,5% du dép]]))</f>
        <v>5000</v>
      </c>
      <c r="U262" s="10">
        <f>ABS(tblDonnées[[#This Row],[MONTANT DEPASSEMENT]]*0.005)</f>
        <v>0</v>
      </c>
      <c r="V262" s="33"/>
      <c r="W262" s="33"/>
      <c r="X262" s="33"/>
      <c r="Y262" s="33"/>
      <c r="Z262" s="33"/>
    </row>
    <row r="263" spans="1:26" x14ac:dyDescent="0.25">
      <c r="A263" s="33"/>
      <c r="B263" s="12"/>
      <c r="C263" s="33"/>
      <c r="D263" s="41"/>
      <c r="H263" s="21"/>
      <c r="I263" s="33"/>
      <c r="J263" s="42"/>
      <c r="K263" s="43"/>
      <c r="L263" s="44"/>
      <c r="M26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63" s="38">
        <f>tblDonnées[[#This Row],[MONTANT OPERATION]]+tblDonnées[[#This Row],[POS  FUSIONNEE CPTE AVANT OP]]</f>
        <v>0</v>
      </c>
      <c r="O263" s="17" t="str">
        <f>IF(ISBLANK(tblDonnées[[#This Row],[MONTANT AUTO]]), "N/A", ABS(tblDonnées[[#This Row],[POS  FUSIONNEE CPTE APRES OP]])-ABS(tblDonnées[[#This Row],[MONTANT AUTO]]))</f>
        <v>N/A</v>
      </c>
      <c r="P263" s="39" t="e">
        <f>tblDonnées[[#This Row],[DEPASSEMENT TOTAL SUR AUTO
]]/-tblDonnées[[#This Row],[MONTANT AUTO]]</f>
        <v>#VALUE!</v>
      </c>
      <c r="Q263" s="33"/>
      <c r="R263" s="33"/>
      <c r="S263" s="33"/>
      <c r="T263" s="40">
        <f>IF(tblDonnées[[#This Row],[0,5% du dép]]&lt;5000,5000,IF(tblDonnées[[#This Row],[0,5% du dép]]&gt;50000,50000,tblDonnées[[#This Row],[0,5% du dép]]))</f>
        <v>5000</v>
      </c>
      <c r="U263" s="10">
        <f>ABS(tblDonnées[[#This Row],[MONTANT DEPASSEMENT]]*0.005)</f>
        <v>0</v>
      </c>
      <c r="V263" s="33"/>
      <c r="W263" s="33"/>
      <c r="X263" s="33"/>
      <c r="Y263" s="33"/>
      <c r="Z263" s="33"/>
    </row>
    <row r="264" spans="1:26" x14ac:dyDescent="0.25">
      <c r="A264" s="33"/>
      <c r="B264" s="12"/>
      <c r="C264" s="33"/>
      <c r="D264" s="41"/>
      <c r="H264" s="21"/>
      <c r="I264" s="33"/>
      <c r="J264" s="42"/>
      <c r="K264" s="43"/>
      <c r="L264" s="44"/>
      <c r="M26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64" s="38">
        <f>tblDonnées[[#This Row],[MONTANT OPERATION]]+tblDonnées[[#This Row],[POS  FUSIONNEE CPTE AVANT OP]]</f>
        <v>0</v>
      </c>
      <c r="O264" s="17" t="str">
        <f>IF(ISBLANK(tblDonnées[[#This Row],[MONTANT AUTO]]), "N/A", ABS(tblDonnées[[#This Row],[POS  FUSIONNEE CPTE APRES OP]])-ABS(tblDonnées[[#This Row],[MONTANT AUTO]]))</f>
        <v>N/A</v>
      </c>
      <c r="P264" s="39" t="e">
        <f>tblDonnées[[#This Row],[DEPASSEMENT TOTAL SUR AUTO
]]/-tblDonnées[[#This Row],[MONTANT AUTO]]</f>
        <v>#VALUE!</v>
      </c>
      <c r="Q264" s="33"/>
      <c r="R264" s="33"/>
      <c r="S264" s="33"/>
      <c r="T264" s="40">
        <f>IF(tblDonnées[[#This Row],[0,5% du dép]]&lt;5000,5000,IF(tblDonnées[[#This Row],[0,5% du dép]]&gt;50000,50000,tblDonnées[[#This Row],[0,5% du dép]]))</f>
        <v>5000</v>
      </c>
      <c r="U264" s="10">
        <f>ABS(tblDonnées[[#This Row],[MONTANT DEPASSEMENT]]*0.005)</f>
        <v>0</v>
      </c>
      <c r="V264" s="33"/>
      <c r="W264" s="33"/>
      <c r="X264" s="33"/>
      <c r="Y264" s="33"/>
      <c r="Z264" s="33"/>
    </row>
    <row r="265" spans="1:26" x14ac:dyDescent="0.25">
      <c r="A265" s="33"/>
      <c r="B265" s="12"/>
      <c r="C265" s="33"/>
      <c r="D265" s="41"/>
      <c r="H265" s="21"/>
      <c r="I265" s="33"/>
      <c r="J265" s="42"/>
      <c r="K265" s="43"/>
      <c r="L265" s="44"/>
      <c r="M26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65" s="38">
        <f>tblDonnées[[#This Row],[MONTANT OPERATION]]+tblDonnées[[#This Row],[POS  FUSIONNEE CPTE AVANT OP]]</f>
        <v>0</v>
      </c>
      <c r="O265" s="17" t="str">
        <f>IF(ISBLANK(tblDonnées[[#This Row],[MONTANT AUTO]]), "N/A", ABS(tblDonnées[[#This Row],[POS  FUSIONNEE CPTE APRES OP]])-ABS(tblDonnées[[#This Row],[MONTANT AUTO]]))</f>
        <v>N/A</v>
      </c>
      <c r="P265" s="39" t="e">
        <f>tblDonnées[[#This Row],[DEPASSEMENT TOTAL SUR AUTO
]]/-tblDonnées[[#This Row],[MONTANT AUTO]]</f>
        <v>#VALUE!</v>
      </c>
      <c r="Q265" s="33"/>
      <c r="R265" s="33"/>
      <c r="S265" s="33"/>
      <c r="T265" s="40">
        <f>IF(tblDonnées[[#This Row],[0,5% du dép]]&lt;5000,5000,IF(tblDonnées[[#This Row],[0,5% du dép]]&gt;50000,50000,tblDonnées[[#This Row],[0,5% du dép]]))</f>
        <v>5000</v>
      </c>
      <c r="U265" s="10">
        <f>ABS(tblDonnées[[#This Row],[MONTANT DEPASSEMENT]]*0.005)</f>
        <v>0</v>
      </c>
      <c r="V265" s="33"/>
      <c r="W265" s="33"/>
      <c r="X265" s="33"/>
      <c r="Y265" s="33"/>
      <c r="Z265" s="33"/>
    </row>
    <row r="266" spans="1:26" x14ac:dyDescent="0.25">
      <c r="A266" s="33"/>
      <c r="B266" s="12"/>
      <c r="C266" s="33"/>
      <c r="D266" s="41"/>
      <c r="H266" s="21"/>
      <c r="I266" s="33"/>
      <c r="J266" s="42"/>
      <c r="K266" s="43"/>
      <c r="L266" s="44"/>
      <c r="M26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66" s="38">
        <f>tblDonnées[[#This Row],[MONTANT OPERATION]]+tblDonnées[[#This Row],[POS  FUSIONNEE CPTE AVANT OP]]</f>
        <v>0</v>
      </c>
      <c r="O266" s="17" t="str">
        <f>IF(ISBLANK(tblDonnées[[#This Row],[MONTANT AUTO]]), "N/A", ABS(tblDonnées[[#This Row],[POS  FUSIONNEE CPTE APRES OP]])-ABS(tblDonnées[[#This Row],[MONTANT AUTO]]))</f>
        <v>N/A</v>
      </c>
      <c r="P266" s="39" t="e">
        <f>tblDonnées[[#This Row],[DEPASSEMENT TOTAL SUR AUTO
]]/-tblDonnées[[#This Row],[MONTANT AUTO]]</f>
        <v>#VALUE!</v>
      </c>
      <c r="Q266" s="33"/>
      <c r="R266" s="33"/>
      <c r="S266" s="33"/>
      <c r="T266" s="40">
        <f>IF(tblDonnées[[#This Row],[0,5% du dép]]&lt;5000,5000,IF(tblDonnées[[#This Row],[0,5% du dép]]&gt;50000,50000,tblDonnées[[#This Row],[0,5% du dép]]))</f>
        <v>5000</v>
      </c>
      <c r="U266" s="10">
        <f>ABS(tblDonnées[[#This Row],[MONTANT DEPASSEMENT]]*0.005)</f>
        <v>0</v>
      </c>
      <c r="V266" s="33"/>
      <c r="W266" s="33"/>
      <c r="X266" s="33"/>
      <c r="Y266" s="33"/>
      <c r="Z266" s="33"/>
    </row>
    <row r="267" spans="1:26" x14ac:dyDescent="0.25">
      <c r="A267" s="33"/>
      <c r="B267" s="12"/>
      <c r="C267" s="33"/>
      <c r="D267" s="41"/>
      <c r="H267" s="21"/>
      <c r="I267" s="33"/>
      <c r="J267" s="42"/>
      <c r="K267" s="43"/>
      <c r="L267" s="44"/>
      <c r="M26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67" s="38">
        <f>tblDonnées[[#This Row],[MONTANT OPERATION]]+tblDonnées[[#This Row],[POS  FUSIONNEE CPTE AVANT OP]]</f>
        <v>0</v>
      </c>
      <c r="O267" s="17" t="str">
        <f>IF(ISBLANK(tblDonnées[[#This Row],[MONTANT AUTO]]), "N/A", ABS(tblDonnées[[#This Row],[POS  FUSIONNEE CPTE APRES OP]])-ABS(tblDonnées[[#This Row],[MONTANT AUTO]]))</f>
        <v>N/A</v>
      </c>
      <c r="P267" s="39" t="e">
        <f>tblDonnées[[#This Row],[DEPASSEMENT TOTAL SUR AUTO
]]/-tblDonnées[[#This Row],[MONTANT AUTO]]</f>
        <v>#VALUE!</v>
      </c>
      <c r="Q267" s="33"/>
      <c r="R267" s="33"/>
      <c r="S267" s="33"/>
      <c r="T267" s="40">
        <f>IF(tblDonnées[[#This Row],[0,5% du dép]]&lt;5000,5000,IF(tblDonnées[[#This Row],[0,5% du dép]]&gt;50000,50000,tblDonnées[[#This Row],[0,5% du dép]]))</f>
        <v>5000</v>
      </c>
      <c r="U267" s="10">
        <f>ABS(tblDonnées[[#This Row],[MONTANT DEPASSEMENT]]*0.005)</f>
        <v>0</v>
      </c>
      <c r="V267" s="33"/>
      <c r="W267" s="33"/>
      <c r="X267" s="33"/>
      <c r="Y267" s="33"/>
      <c r="Z267" s="33"/>
    </row>
    <row r="268" spans="1:26" x14ac:dyDescent="0.25">
      <c r="A268" s="33"/>
      <c r="B268" s="12"/>
      <c r="C268" s="33"/>
      <c r="D268" s="41"/>
      <c r="H268" s="21"/>
      <c r="I268" s="33"/>
      <c r="J268" s="42"/>
      <c r="K268" s="43"/>
      <c r="L268" s="44"/>
      <c r="M26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68" s="38">
        <f>tblDonnées[[#This Row],[MONTANT OPERATION]]+tblDonnées[[#This Row],[POS  FUSIONNEE CPTE AVANT OP]]</f>
        <v>0</v>
      </c>
      <c r="O268" s="17" t="str">
        <f>IF(ISBLANK(tblDonnées[[#This Row],[MONTANT AUTO]]), "N/A", ABS(tblDonnées[[#This Row],[POS  FUSIONNEE CPTE APRES OP]])-ABS(tblDonnées[[#This Row],[MONTANT AUTO]]))</f>
        <v>N/A</v>
      </c>
      <c r="P268" s="39" t="e">
        <f>tblDonnées[[#This Row],[DEPASSEMENT TOTAL SUR AUTO
]]/-tblDonnées[[#This Row],[MONTANT AUTO]]</f>
        <v>#VALUE!</v>
      </c>
      <c r="Q268" s="33"/>
      <c r="R268" s="33"/>
      <c r="S268" s="33"/>
      <c r="T268" s="40">
        <f>IF(tblDonnées[[#This Row],[0,5% du dép]]&lt;5000,5000,IF(tblDonnées[[#This Row],[0,5% du dép]]&gt;50000,50000,tblDonnées[[#This Row],[0,5% du dép]]))</f>
        <v>5000</v>
      </c>
      <c r="U268" s="10">
        <f>ABS(tblDonnées[[#This Row],[MONTANT DEPASSEMENT]]*0.005)</f>
        <v>0</v>
      </c>
      <c r="V268" s="33"/>
      <c r="W268" s="33"/>
      <c r="X268" s="33"/>
      <c r="Y268" s="33"/>
      <c r="Z268" s="33"/>
    </row>
    <row r="269" spans="1:26" x14ac:dyDescent="0.25">
      <c r="A269" s="33"/>
      <c r="B269" s="12"/>
      <c r="C269" s="33"/>
      <c r="D269" s="41"/>
      <c r="H269" s="21"/>
      <c r="I269" s="33"/>
      <c r="J269" s="42"/>
      <c r="K269" s="43"/>
      <c r="L269" s="44"/>
      <c r="M26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69" s="38">
        <f>tblDonnées[[#This Row],[MONTANT OPERATION]]+tblDonnées[[#This Row],[POS  FUSIONNEE CPTE AVANT OP]]</f>
        <v>0</v>
      </c>
      <c r="O269" s="17" t="str">
        <f>IF(ISBLANK(tblDonnées[[#This Row],[MONTANT AUTO]]), "N/A", ABS(tblDonnées[[#This Row],[POS  FUSIONNEE CPTE APRES OP]])-ABS(tblDonnées[[#This Row],[MONTANT AUTO]]))</f>
        <v>N/A</v>
      </c>
      <c r="P269" s="39" t="e">
        <f>tblDonnées[[#This Row],[DEPASSEMENT TOTAL SUR AUTO
]]/-tblDonnées[[#This Row],[MONTANT AUTO]]</f>
        <v>#VALUE!</v>
      </c>
      <c r="Q269" s="33"/>
      <c r="R269" s="33"/>
      <c r="S269" s="33"/>
      <c r="T269" s="40">
        <f>IF(tblDonnées[[#This Row],[0,5% du dép]]&lt;5000,5000,IF(tblDonnées[[#This Row],[0,5% du dép]]&gt;50000,50000,tblDonnées[[#This Row],[0,5% du dép]]))</f>
        <v>5000</v>
      </c>
      <c r="U269" s="10">
        <f>ABS(tblDonnées[[#This Row],[MONTANT DEPASSEMENT]]*0.005)</f>
        <v>0</v>
      </c>
      <c r="V269" s="33"/>
      <c r="W269" s="33"/>
      <c r="X269" s="33"/>
      <c r="Y269" s="33"/>
      <c r="Z269" s="33"/>
    </row>
    <row r="270" spans="1:26" x14ac:dyDescent="0.25">
      <c r="A270" s="33"/>
      <c r="B270" s="12"/>
      <c r="C270" s="33"/>
      <c r="D270" s="41"/>
      <c r="H270" s="21"/>
      <c r="I270" s="33"/>
      <c r="J270" s="42"/>
      <c r="K270" s="43"/>
      <c r="L270" s="44"/>
      <c r="M27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70" s="38">
        <f>tblDonnées[[#This Row],[MONTANT OPERATION]]+tblDonnées[[#This Row],[POS  FUSIONNEE CPTE AVANT OP]]</f>
        <v>0</v>
      </c>
      <c r="O270" s="17" t="str">
        <f>IF(ISBLANK(tblDonnées[[#This Row],[MONTANT AUTO]]), "N/A", ABS(tblDonnées[[#This Row],[POS  FUSIONNEE CPTE APRES OP]])-ABS(tblDonnées[[#This Row],[MONTANT AUTO]]))</f>
        <v>N/A</v>
      </c>
      <c r="P270" s="39" t="e">
        <f>tblDonnées[[#This Row],[DEPASSEMENT TOTAL SUR AUTO
]]/-tblDonnées[[#This Row],[MONTANT AUTO]]</f>
        <v>#VALUE!</v>
      </c>
      <c r="Q270" s="33"/>
      <c r="R270" s="33"/>
      <c r="S270" s="33"/>
      <c r="T270" s="40">
        <f>IF(tblDonnées[[#This Row],[0,5% du dép]]&lt;5000,5000,IF(tblDonnées[[#This Row],[0,5% du dép]]&gt;50000,50000,tblDonnées[[#This Row],[0,5% du dép]]))</f>
        <v>5000</v>
      </c>
      <c r="U270" s="10">
        <f>ABS(tblDonnées[[#This Row],[MONTANT DEPASSEMENT]]*0.005)</f>
        <v>0</v>
      </c>
      <c r="V270" s="33"/>
      <c r="W270" s="33"/>
      <c r="X270" s="33"/>
      <c r="Y270" s="33"/>
      <c r="Z270" s="33"/>
    </row>
    <row r="271" spans="1:26" x14ac:dyDescent="0.25">
      <c r="A271" s="33"/>
      <c r="B271" s="12"/>
      <c r="C271" s="33"/>
      <c r="D271" s="41"/>
      <c r="H271" s="21"/>
      <c r="I271" s="33"/>
      <c r="J271" s="42"/>
      <c r="K271" s="43"/>
      <c r="L271" s="44"/>
      <c r="M27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71" s="38">
        <f>tblDonnées[[#This Row],[MONTANT OPERATION]]+tblDonnées[[#This Row],[POS  FUSIONNEE CPTE AVANT OP]]</f>
        <v>0</v>
      </c>
      <c r="O271" s="17" t="str">
        <f>IF(ISBLANK(tblDonnées[[#This Row],[MONTANT AUTO]]), "N/A", ABS(tblDonnées[[#This Row],[POS  FUSIONNEE CPTE APRES OP]])-ABS(tblDonnées[[#This Row],[MONTANT AUTO]]))</f>
        <v>N/A</v>
      </c>
      <c r="P271" s="39" t="e">
        <f>tblDonnées[[#This Row],[DEPASSEMENT TOTAL SUR AUTO
]]/-tblDonnées[[#This Row],[MONTANT AUTO]]</f>
        <v>#VALUE!</v>
      </c>
      <c r="Q271" s="33"/>
      <c r="R271" s="33"/>
      <c r="S271" s="33"/>
      <c r="T271" s="40">
        <f>IF(tblDonnées[[#This Row],[0,5% du dép]]&lt;5000,5000,IF(tblDonnées[[#This Row],[0,5% du dép]]&gt;50000,50000,tblDonnées[[#This Row],[0,5% du dép]]))</f>
        <v>5000</v>
      </c>
      <c r="U271" s="10">
        <f>ABS(tblDonnées[[#This Row],[MONTANT DEPASSEMENT]]*0.005)</f>
        <v>0</v>
      </c>
      <c r="V271" s="33"/>
      <c r="W271" s="33"/>
      <c r="X271" s="33"/>
      <c r="Y271" s="33"/>
      <c r="Z271" s="33"/>
    </row>
    <row r="272" spans="1:26" x14ac:dyDescent="0.25">
      <c r="A272" s="33"/>
      <c r="B272" s="12"/>
      <c r="C272" s="33"/>
      <c r="D272" s="41"/>
      <c r="H272" s="21"/>
      <c r="I272" s="33"/>
      <c r="J272" s="42"/>
      <c r="K272" s="43"/>
      <c r="L272" s="44"/>
      <c r="M27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72" s="38">
        <f>tblDonnées[[#This Row],[MONTANT OPERATION]]+tblDonnées[[#This Row],[POS  FUSIONNEE CPTE AVANT OP]]</f>
        <v>0</v>
      </c>
      <c r="O272" s="17" t="str">
        <f>IF(ISBLANK(tblDonnées[[#This Row],[MONTANT AUTO]]), "N/A", ABS(tblDonnées[[#This Row],[POS  FUSIONNEE CPTE APRES OP]])-ABS(tblDonnées[[#This Row],[MONTANT AUTO]]))</f>
        <v>N/A</v>
      </c>
      <c r="P272" s="39" t="e">
        <f>tblDonnées[[#This Row],[DEPASSEMENT TOTAL SUR AUTO
]]/-tblDonnées[[#This Row],[MONTANT AUTO]]</f>
        <v>#VALUE!</v>
      </c>
      <c r="Q272" s="33"/>
      <c r="R272" s="33"/>
      <c r="S272" s="33"/>
      <c r="T272" s="40">
        <f>IF(tblDonnées[[#This Row],[0,5% du dép]]&lt;5000,5000,IF(tblDonnées[[#This Row],[0,5% du dép]]&gt;50000,50000,tblDonnées[[#This Row],[0,5% du dép]]))</f>
        <v>5000</v>
      </c>
      <c r="U272" s="10">
        <f>ABS(tblDonnées[[#This Row],[MONTANT DEPASSEMENT]]*0.005)</f>
        <v>0</v>
      </c>
      <c r="V272" s="33"/>
      <c r="W272" s="33"/>
      <c r="X272" s="33"/>
      <c r="Y272" s="33"/>
      <c r="Z272" s="33"/>
    </row>
    <row r="273" spans="1:26" x14ac:dyDescent="0.25">
      <c r="A273" s="33"/>
      <c r="B273" s="12"/>
      <c r="C273" s="33"/>
      <c r="D273" s="41"/>
      <c r="H273" s="21"/>
      <c r="I273" s="33"/>
      <c r="J273" s="42"/>
      <c r="K273" s="43"/>
      <c r="L273" s="44"/>
      <c r="M27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73" s="38">
        <f>tblDonnées[[#This Row],[MONTANT OPERATION]]+tblDonnées[[#This Row],[POS  FUSIONNEE CPTE AVANT OP]]</f>
        <v>0</v>
      </c>
      <c r="O273" s="17" t="str">
        <f>IF(ISBLANK(tblDonnées[[#This Row],[MONTANT AUTO]]), "N/A", ABS(tblDonnées[[#This Row],[POS  FUSIONNEE CPTE APRES OP]])-ABS(tblDonnées[[#This Row],[MONTANT AUTO]]))</f>
        <v>N/A</v>
      </c>
      <c r="P273" s="39" t="e">
        <f>tblDonnées[[#This Row],[DEPASSEMENT TOTAL SUR AUTO
]]/-tblDonnées[[#This Row],[MONTANT AUTO]]</f>
        <v>#VALUE!</v>
      </c>
      <c r="Q273" s="33"/>
      <c r="R273" s="33"/>
      <c r="S273" s="33"/>
      <c r="T273" s="40">
        <f>IF(tblDonnées[[#This Row],[0,5% du dép]]&lt;5000,5000,IF(tblDonnées[[#This Row],[0,5% du dép]]&gt;50000,50000,tblDonnées[[#This Row],[0,5% du dép]]))</f>
        <v>5000</v>
      </c>
      <c r="U273" s="10">
        <f>ABS(tblDonnées[[#This Row],[MONTANT DEPASSEMENT]]*0.005)</f>
        <v>0</v>
      </c>
      <c r="V273" s="33"/>
      <c r="W273" s="33"/>
      <c r="X273" s="33"/>
      <c r="Y273" s="33"/>
      <c r="Z273" s="33"/>
    </row>
    <row r="274" spans="1:26" x14ac:dyDescent="0.25">
      <c r="A274" s="33"/>
      <c r="B274" s="12"/>
      <c r="C274" s="33"/>
      <c r="D274" s="41"/>
      <c r="H274" s="21"/>
      <c r="I274" s="33"/>
      <c r="J274" s="42"/>
      <c r="K274" s="43"/>
      <c r="L274" s="44"/>
      <c r="M27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74" s="38">
        <f>tblDonnées[[#This Row],[MONTANT OPERATION]]+tblDonnées[[#This Row],[POS  FUSIONNEE CPTE AVANT OP]]</f>
        <v>0</v>
      </c>
      <c r="O274" s="17" t="str">
        <f>IF(ISBLANK(tblDonnées[[#This Row],[MONTANT AUTO]]), "N/A", ABS(tblDonnées[[#This Row],[POS  FUSIONNEE CPTE APRES OP]])-ABS(tblDonnées[[#This Row],[MONTANT AUTO]]))</f>
        <v>N/A</v>
      </c>
      <c r="P274" s="39" t="e">
        <f>tblDonnées[[#This Row],[DEPASSEMENT TOTAL SUR AUTO
]]/-tblDonnées[[#This Row],[MONTANT AUTO]]</f>
        <v>#VALUE!</v>
      </c>
      <c r="Q274" s="33"/>
      <c r="R274" s="33"/>
      <c r="S274" s="33"/>
      <c r="T274" s="40">
        <f>IF(tblDonnées[[#This Row],[0,5% du dép]]&lt;5000,5000,IF(tblDonnées[[#This Row],[0,5% du dép]]&gt;50000,50000,tblDonnées[[#This Row],[0,5% du dép]]))</f>
        <v>5000</v>
      </c>
      <c r="U274" s="10">
        <f>ABS(tblDonnées[[#This Row],[MONTANT DEPASSEMENT]]*0.005)</f>
        <v>0</v>
      </c>
      <c r="V274" s="33"/>
      <c r="W274" s="33"/>
      <c r="X274" s="33"/>
      <c r="Y274" s="33"/>
      <c r="Z274" s="33"/>
    </row>
    <row r="275" spans="1:26" x14ac:dyDescent="0.25">
      <c r="A275" s="33"/>
      <c r="B275" s="12"/>
      <c r="C275" s="33"/>
      <c r="D275" s="41"/>
      <c r="H275" s="21"/>
      <c r="I275" s="33"/>
      <c r="J275" s="42"/>
      <c r="K275" s="43"/>
      <c r="L275" s="44"/>
      <c r="M27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75" s="38">
        <f>tblDonnées[[#This Row],[MONTANT OPERATION]]+tblDonnées[[#This Row],[POS  FUSIONNEE CPTE AVANT OP]]</f>
        <v>0</v>
      </c>
      <c r="O275" s="17" t="str">
        <f>IF(ISBLANK(tblDonnées[[#This Row],[MONTANT AUTO]]), "N/A", ABS(tblDonnées[[#This Row],[POS  FUSIONNEE CPTE APRES OP]])-ABS(tblDonnées[[#This Row],[MONTANT AUTO]]))</f>
        <v>N/A</v>
      </c>
      <c r="P275" s="39" t="e">
        <f>tblDonnées[[#This Row],[DEPASSEMENT TOTAL SUR AUTO
]]/-tblDonnées[[#This Row],[MONTANT AUTO]]</f>
        <v>#VALUE!</v>
      </c>
      <c r="Q275" s="33"/>
      <c r="R275" s="33"/>
      <c r="S275" s="33"/>
      <c r="T275" s="40">
        <f>IF(tblDonnées[[#This Row],[0,5% du dép]]&lt;5000,5000,IF(tblDonnées[[#This Row],[0,5% du dép]]&gt;50000,50000,tblDonnées[[#This Row],[0,5% du dép]]))</f>
        <v>5000</v>
      </c>
      <c r="U275" s="10">
        <f>ABS(tblDonnées[[#This Row],[MONTANT DEPASSEMENT]]*0.005)</f>
        <v>0</v>
      </c>
      <c r="V275" s="33"/>
      <c r="W275" s="33"/>
      <c r="X275" s="33"/>
      <c r="Y275" s="33"/>
      <c r="Z275" s="33"/>
    </row>
    <row r="276" spans="1:26" x14ac:dyDescent="0.25">
      <c r="A276" s="33"/>
      <c r="B276" s="12"/>
      <c r="C276" s="33"/>
      <c r="D276" s="41"/>
      <c r="H276" s="21"/>
      <c r="I276" s="33"/>
      <c r="J276" s="42"/>
      <c r="K276" s="43"/>
      <c r="L276" s="44"/>
      <c r="M27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76" s="38">
        <f>tblDonnées[[#This Row],[MONTANT OPERATION]]+tblDonnées[[#This Row],[POS  FUSIONNEE CPTE AVANT OP]]</f>
        <v>0</v>
      </c>
      <c r="O276" s="17" t="str">
        <f>IF(ISBLANK(tblDonnées[[#This Row],[MONTANT AUTO]]), "N/A", ABS(tblDonnées[[#This Row],[POS  FUSIONNEE CPTE APRES OP]])-ABS(tblDonnées[[#This Row],[MONTANT AUTO]]))</f>
        <v>N/A</v>
      </c>
      <c r="P276" s="39" t="e">
        <f>tblDonnées[[#This Row],[DEPASSEMENT TOTAL SUR AUTO
]]/-tblDonnées[[#This Row],[MONTANT AUTO]]</f>
        <v>#VALUE!</v>
      </c>
      <c r="Q276" s="33"/>
      <c r="R276" s="33"/>
      <c r="S276" s="33"/>
      <c r="T276" s="40">
        <f>IF(tblDonnées[[#This Row],[0,5% du dép]]&lt;5000,5000,IF(tblDonnées[[#This Row],[0,5% du dép]]&gt;50000,50000,tblDonnées[[#This Row],[0,5% du dép]]))</f>
        <v>5000</v>
      </c>
      <c r="U276" s="10">
        <f>ABS(tblDonnées[[#This Row],[MONTANT DEPASSEMENT]]*0.005)</f>
        <v>0</v>
      </c>
      <c r="V276" s="33"/>
      <c r="W276" s="33"/>
      <c r="X276" s="33"/>
      <c r="Y276" s="33"/>
      <c r="Z276" s="33"/>
    </row>
    <row r="277" spans="1:26" x14ac:dyDescent="0.25">
      <c r="A277" s="33"/>
      <c r="B277" s="12"/>
      <c r="C277" s="33"/>
      <c r="D277" s="41"/>
      <c r="H277" s="21"/>
      <c r="I277" s="33"/>
      <c r="J277" s="42"/>
      <c r="K277" s="43"/>
      <c r="L277" s="44"/>
      <c r="M27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77" s="38">
        <f>tblDonnées[[#This Row],[MONTANT OPERATION]]+tblDonnées[[#This Row],[POS  FUSIONNEE CPTE AVANT OP]]</f>
        <v>0</v>
      </c>
      <c r="O277" s="17" t="str">
        <f>IF(ISBLANK(tblDonnées[[#This Row],[MONTANT AUTO]]), "N/A", ABS(tblDonnées[[#This Row],[POS  FUSIONNEE CPTE APRES OP]])-ABS(tblDonnées[[#This Row],[MONTANT AUTO]]))</f>
        <v>N/A</v>
      </c>
      <c r="P277" s="39" t="e">
        <f>tblDonnées[[#This Row],[DEPASSEMENT TOTAL SUR AUTO
]]/-tblDonnées[[#This Row],[MONTANT AUTO]]</f>
        <v>#VALUE!</v>
      </c>
      <c r="Q277" s="33"/>
      <c r="R277" s="33"/>
      <c r="S277" s="33"/>
      <c r="T277" s="40">
        <f>IF(tblDonnées[[#This Row],[0,5% du dép]]&lt;5000,5000,IF(tblDonnées[[#This Row],[0,5% du dép]]&gt;50000,50000,tblDonnées[[#This Row],[0,5% du dép]]))</f>
        <v>5000</v>
      </c>
      <c r="U277" s="10">
        <f>ABS(tblDonnées[[#This Row],[MONTANT DEPASSEMENT]]*0.005)</f>
        <v>0</v>
      </c>
      <c r="V277" s="33"/>
      <c r="W277" s="33"/>
      <c r="X277" s="33"/>
      <c r="Y277" s="33"/>
      <c r="Z277" s="33"/>
    </row>
    <row r="278" spans="1:26" x14ac:dyDescent="0.25">
      <c r="A278" s="33"/>
      <c r="B278" s="12"/>
      <c r="C278" s="33"/>
      <c r="D278" s="41"/>
      <c r="H278" s="21"/>
      <c r="I278" s="33"/>
      <c r="J278" s="42"/>
      <c r="K278" s="43"/>
      <c r="L278" s="44"/>
      <c r="M27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78" s="38">
        <f>tblDonnées[[#This Row],[MONTANT OPERATION]]+tblDonnées[[#This Row],[POS  FUSIONNEE CPTE AVANT OP]]</f>
        <v>0</v>
      </c>
      <c r="O278" s="17" t="str">
        <f>IF(ISBLANK(tblDonnées[[#This Row],[MONTANT AUTO]]), "N/A", ABS(tblDonnées[[#This Row],[POS  FUSIONNEE CPTE APRES OP]])-ABS(tblDonnées[[#This Row],[MONTANT AUTO]]))</f>
        <v>N/A</v>
      </c>
      <c r="P278" s="39" t="e">
        <f>tblDonnées[[#This Row],[DEPASSEMENT TOTAL SUR AUTO
]]/-tblDonnées[[#This Row],[MONTANT AUTO]]</f>
        <v>#VALUE!</v>
      </c>
      <c r="Q278" s="33"/>
      <c r="R278" s="33"/>
      <c r="S278" s="33"/>
      <c r="T278" s="40">
        <f>IF(tblDonnées[[#This Row],[0,5% du dép]]&lt;5000,5000,IF(tblDonnées[[#This Row],[0,5% du dép]]&gt;50000,50000,tblDonnées[[#This Row],[0,5% du dép]]))</f>
        <v>5000</v>
      </c>
      <c r="U278" s="10">
        <f>ABS(tblDonnées[[#This Row],[MONTANT DEPASSEMENT]]*0.005)</f>
        <v>0</v>
      </c>
      <c r="V278" s="33"/>
      <c r="W278" s="33"/>
      <c r="X278" s="33"/>
      <c r="Y278" s="33"/>
      <c r="Z278" s="33"/>
    </row>
    <row r="279" spans="1:26" x14ac:dyDescent="0.25">
      <c r="A279" s="33"/>
      <c r="B279" s="12"/>
      <c r="C279" s="33"/>
      <c r="D279" s="41"/>
      <c r="H279" s="21"/>
      <c r="I279" s="33"/>
      <c r="J279" s="42"/>
      <c r="K279" s="43"/>
      <c r="L279" s="44"/>
      <c r="M27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79" s="38">
        <f>tblDonnées[[#This Row],[MONTANT OPERATION]]+tblDonnées[[#This Row],[POS  FUSIONNEE CPTE AVANT OP]]</f>
        <v>0</v>
      </c>
      <c r="O279" s="17" t="str">
        <f>IF(ISBLANK(tblDonnées[[#This Row],[MONTANT AUTO]]), "N/A", ABS(tblDonnées[[#This Row],[POS  FUSIONNEE CPTE APRES OP]])-ABS(tblDonnées[[#This Row],[MONTANT AUTO]]))</f>
        <v>N/A</v>
      </c>
      <c r="P279" s="39" t="e">
        <f>tblDonnées[[#This Row],[DEPASSEMENT TOTAL SUR AUTO
]]/-tblDonnées[[#This Row],[MONTANT AUTO]]</f>
        <v>#VALUE!</v>
      </c>
      <c r="Q279" s="33"/>
      <c r="R279" s="33"/>
      <c r="S279" s="33"/>
      <c r="T279" s="40">
        <f>IF(tblDonnées[[#This Row],[0,5% du dép]]&lt;5000,5000,IF(tblDonnées[[#This Row],[0,5% du dép]]&gt;50000,50000,tblDonnées[[#This Row],[0,5% du dép]]))</f>
        <v>5000</v>
      </c>
      <c r="U279" s="10">
        <f>ABS(tblDonnées[[#This Row],[MONTANT DEPASSEMENT]]*0.005)</f>
        <v>0</v>
      </c>
      <c r="V279" s="33"/>
      <c r="W279" s="33"/>
      <c r="X279" s="33"/>
      <c r="Y279" s="33"/>
      <c r="Z279" s="33"/>
    </row>
    <row r="280" spans="1:26" x14ac:dyDescent="0.25">
      <c r="A280" s="33"/>
      <c r="B280" s="12"/>
      <c r="C280" s="33"/>
      <c r="D280" s="41"/>
      <c r="H280" s="21"/>
      <c r="I280" s="33"/>
      <c r="J280" s="42"/>
      <c r="K280" s="43"/>
      <c r="L280" s="44"/>
      <c r="M28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80" s="38">
        <f>tblDonnées[[#This Row],[MONTANT OPERATION]]+tblDonnées[[#This Row],[POS  FUSIONNEE CPTE AVANT OP]]</f>
        <v>0</v>
      </c>
      <c r="O280" s="17" t="str">
        <f>IF(ISBLANK(tblDonnées[[#This Row],[MONTANT AUTO]]), "N/A", ABS(tblDonnées[[#This Row],[POS  FUSIONNEE CPTE APRES OP]])-ABS(tblDonnées[[#This Row],[MONTANT AUTO]]))</f>
        <v>N/A</v>
      </c>
      <c r="P280" s="39" t="e">
        <f>tblDonnées[[#This Row],[DEPASSEMENT TOTAL SUR AUTO
]]/-tblDonnées[[#This Row],[MONTANT AUTO]]</f>
        <v>#VALUE!</v>
      </c>
      <c r="Q280" s="33"/>
      <c r="R280" s="33"/>
      <c r="S280" s="33"/>
      <c r="T280" s="40">
        <f>IF(tblDonnées[[#This Row],[0,5% du dép]]&lt;5000,5000,IF(tblDonnées[[#This Row],[0,5% du dép]]&gt;50000,50000,tblDonnées[[#This Row],[0,5% du dép]]))</f>
        <v>5000</v>
      </c>
      <c r="U280" s="10">
        <f>ABS(tblDonnées[[#This Row],[MONTANT DEPASSEMENT]]*0.005)</f>
        <v>0</v>
      </c>
      <c r="V280" s="33"/>
      <c r="W280" s="33"/>
      <c r="X280" s="33"/>
      <c r="Y280" s="33"/>
      <c r="Z280" s="33"/>
    </row>
    <row r="281" spans="1:26" x14ac:dyDescent="0.25">
      <c r="A281" s="33"/>
      <c r="B281" s="12"/>
      <c r="C281" s="33"/>
      <c r="D281" s="41"/>
      <c r="H281" s="21"/>
      <c r="I281" s="33"/>
      <c r="J281" s="42"/>
      <c r="K281" s="43"/>
      <c r="L281" s="44"/>
      <c r="M28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81" s="38">
        <f>tblDonnées[[#This Row],[MONTANT OPERATION]]+tblDonnées[[#This Row],[POS  FUSIONNEE CPTE AVANT OP]]</f>
        <v>0</v>
      </c>
      <c r="O281" s="17" t="str">
        <f>IF(ISBLANK(tblDonnées[[#This Row],[MONTANT AUTO]]), "N/A", ABS(tblDonnées[[#This Row],[POS  FUSIONNEE CPTE APRES OP]])-ABS(tblDonnées[[#This Row],[MONTANT AUTO]]))</f>
        <v>N/A</v>
      </c>
      <c r="P281" s="39" t="e">
        <f>tblDonnées[[#This Row],[DEPASSEMENT TOTAL SUR AUTO
]]/-tblDonnées[[#This Row],[MONTANT AUTO]]</f>
        <v>#VALUE!</v>
      </c>
      <c r="Q281" s="33"/>
      <c r="R281" s="33"/>
      <c r="S281" s="33"/>
      <c r="T281" s="40">
        <f>IF(tblDonnées[[#This Row],[0,5% du dép]]&lt;5000,5000,IF(tblDonnées[[#This Row],[0,5% du dép]]&gt;50000,50000,tblDonnées[[#This Row],[0,5% du dép]]))</f>
        <v>5000</v>
      </c>
      <c r="U281" s="10">
        <f>ABS(tblDonnées[[#This Row],[MONTANT DEPASSEMENT]]*0.005)</f>
        <v>0</v>
      </c>
      <c r="V281" s="33"/>
      <c r="W281" s="33"/>
      <c r="X281" s="33"/>
      <c r="Y281" s="33"/>
      <c r="Z281" s="33"/>
    </row>
    <row r="282" spans="1:26" x14ac:dyDescent="0.25">
      <c r="A282" s="33"/>
      <c r="B282" s="12"/>
      <c r="C282" s="33"/>
      <c r="D282" s="41"/>
      <c r="H282" s="21"/>
      <c r="I282" s="33"/>
      <c r="J282" s="42"/>
      <c r="K282" s="43"/>
      <c r="L282" s="44"/>
      <c r="M28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82" s="38">
        <f>tblDonnées[[#This Row],[MONTANT OPERATION]]+tblDonnées[[#This Row],[POS  FUSIONNEE CPTE AVANT OP]]</f>
        <v>0</v>
      </c>
      <c r="O282" s="17" t="str">
        <f>IF(ISBLANK(tblDonnées[[#This Row],[MONTANT AUTO]]), "N/A", ABS(tblDonnées[[#This Row],[POS  FUSIONNEE CPTE APRES OP]])-ABS(tblDonnées[[#This Row],[MONTANT AUTO]]))</f>
        <v>N/A</v>
      </c>
      <c r="P282" s="39" t="e">
        <f>tblDonnées[[#This Row],[DEPASSEMENT TOTAL SUR AUTO
]]/-tblDonnées[[#This Row],[MONTANT AUTO]]</f>
        <v>#VALUE!</v>
      </c>
      <c r="Q282" s="33"/>
      <c r="R282" s="33"/>
      <c r="S282" s="33"/>
      <c r="T282" s="40">
        <f>IF(tblDonnées[[#This Row],[0,5% du dép]]&lt;5000,5000,IF(tblDonnées[[#This Row],[0,5% du dép]]&gt;50000,50000,tblDonnées[[#This Row],[0,5% du dép]]))</f>
        <v>5000</v>
      </c>
      <c r="U282" s="10">
        <f>ABS(tblDonnées[[#This Row],[MONTANT DEPASSEMENT]]*0.005)</f>
        <v>0</v>
      </c>
      <c r="V282" s="33"/>
      <c r="W282" s="33"/>
      <c r="X282" s="33"/>
      <c r="Y282" s="33"/>
      <c r="Z282" s="33"/>
    </row>
    <row r="283" spans="1:26" x14ac:dyDescent="0.25">
      <c r="A283" s="33"/>
      <c r="B283" s="12"/>
      <c r="C283" s="33"/>
      <c r="D283" s="41"/>
      <c r="H283" s="21"/>
      <c r="I283" s="33"/>
      <c r="J283" s="42"/>
      <c r="K283" s="43"/>
      <c r="L283" s="44"/>
      <c r="M28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83" s="38">
        <f>tblDonnées[[#This Row],[MONTANT OPERATION]]+tblDonnées[[#This Row],[POS  FUSIONNEE CPTE AVANT OP]]</f>
        <v>0</v>
      </c>
      <c r="O283" s="17" t="str">
        <f>IF(ISBLANK(tblDonnées[[#This Row],[MONTANT AUTO]]), "N/A", ABS(tblDonnées[[#This Row],[POS  FUSIONNEE CPTE APRES OP]])-ABS(tblDonnées[[#This Row],[MONTANT AUTO]]))</f>
        <v>N/A</v>
      </c>
      <c r="P283" s="39" t="e">
        <f>tblDonnées[[#This Row],[DEPASSEMENT TOTAL SUR AUTO
]]/-tblDonnées[[#This Row],[MONTANT AUTO]]</f>
        <v>#VALUE!</v>
      </c>
      <c r="Q283" s="33"/>
      <c r="R283" s="33"/>
      <c r="S283" s="33"/>
      <c r="T283" s="40">
        <f>IF(tblDonnées[[#This Row],[0,5% du dép]]&lt;5000,5000,IF(tblDonnées[[#This Row],[0,5% du dép]]&gt;50000,50000,tblDonnées[[#This Row],[0,5% du dép]]))</f>
        <v>5000</v>
      </c>
      <c r="U283" s="10">
        <f>ABS(tblDonnées[[#This Row],[MONTANT DEPASSEMENT]]*0.005)</f>
        <v>0</v>
      </c>
      <c r="V283" s="33"/>
      <c r="W283" s="33"/>
      <c r="X283" s="33"/>
      <c r="Y283" s="33"/>
      <c r="Z283" s="33"/>
    </row>
    <row r="284" spans="1:26" x14ac:dyDescent="0.25">
      <c r="A284" s="33"/>
      <c r="B284" s="12"/>
      <c r="C284" s="33"/>
      <c r="D284" s="41"/>
      <c r="H284" s="21"/>
      <c r="I284" s="33"/>
      <c r="J284" s="42"/>
      <c r="K284" s="43"/>
      <c r="L284" s="44"/>
      <c r="M28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84" s="38">
        <f>tblDonnées[[#This Row],[MONTANT OPERATION]]+tblDonnées[[#This Row],[POS  FUSIONNEE CPTE AVANT OP]]</f>
        <v>0</v>
      </c>
      <c r="O284" s="17" t="str">
        <f>IF(ISBLANK(tblDonnées[[#This Row],[MONTANT AUTO]]), "N/A", ABS(tblDonnées[[#This Row],[POS  FUSIONNEE CPTE APRES OP]])-ABS(tblDonnées[[#This Row],[MONTANT AUTO]]))</f>
        <v>N/A</v>
      </c>
      <c r="P284" s="39" t="e">
        <f>tblDonnées[[#This Row],[DEPASSEMENT TOTAL SUR AUTO
]]/-tblDonnées[[#This Row],[MONTANT AUTO]]</f>
        <v>#VALUE!</v>
      </c>
      <c r="Q284" s="33"/>
      <c r="R284" s="33"/>
      <c r="S284" s="33"/>
      <c r="T284" s="40">
        <f>IF(tblDonnées[[#This Row],[0,5% du dép]]&lt;5000,5000,IF(tblDonnées[[#This Row],[0,5% du dép]]&gt;50000,50000,tblDonnées[[#This Row],[0,5% du dép]]))</f>
        <v>5000</v>
      </c>
      <c r="U284" s="10">
        <f>ABS(tblDonnées[[#This Row],[MONTANT DEPASSEMENT]]*0.005)</f>
        <v>0</v>
      </c>
      <c r="V284" s="33"/>
      <c r="W284" s="33"/>
      <c r="X284" s="33"/>
      <c r="Y284" s="33"/>
      <c r="Z284" s="33"/>
    </row>
    <row r="285" spans="1:26" x14ac:dyDescent="0.25">
      <c r="A285" s="33"/>
      <c r="B285" s="12"/>
      <c r="C285" s="33"/>
      <c r="D285" s="41"/>
      <c r="H285" s="21"/>
      <c r="I285" s="33"/>
      <c r="J285" s="42"/>
      <c r="K285" s="43"/>
      <c r="L285" s="44"/>
      <c r="M28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85" s="38">
        <f>tblDonnées[[#This Row],[MONTANT OPERATION]]+tblDonnées[[#This Row],[POS  FUSIONNEE CPTE AVANT OP]]</f>
        <v>0</v>
      </c>
      <c r="O285" s="17" t="str">
        <f>IF(ISBLANK(tblDonnées[[#This Row],[MONTANT AUTO]]), "N/A", ABS(tblDonnées[[#This Row],[POS  FUSIONNEE CPTE APRES OP]])-ABS(tblDonnées[[#This Row],[MONTANT AUTO]]))</f>
        <v>N/A</v>
      </c>
      <c r="P285" s="39" t="e">
        <f>tblDonnées[[#This Row],[DEPASSEMENT TOTAL SUR AUTO
]]/-tblDonnées[[#This Row],[MONTANT AUTO]]</f>
        <v>#VALUE!</v>
      </c>
      <c r="Q285" s="33"/>
      <c r="R285" s="33"/>
      <c r="S285" s="33"/>
      <c r="T285" s="40">
        <f>IF(tblDonnées[[#This Row],[0,5% du dép]]&lt;5000,5000,IF(tblDonnées[[#This Row],[0,5% du dép]]&gt;50000,50000,tblDonnées[[#This Row],[0,5% du dép]]))</f>
        <v>5000</v>
      </c>
      <c r="U285" s="10">
        <f>ABS(tblDonnées[[#This Row],[MONTANT DEPASSEMENT]]*0.005)</f>
        <v>0</v>
      </c>
      <c r="V285" s="33"/>
      <c r="W285" s="33"/>
      <c r="X285" s="33"/>
      <c r="Y285" s="33"/>
      <c r="Z285" s="33"/>
    </row>
    <row r="286" spans="1:26" x14ac:dyDescent="0.25">
      <c r="A286" s="33"/>
      <c r="B286" s="12"/>
      <c r="C286" s="33"/>
      <c r="D286" s="41"/>
      <c r="H286" s="21"/>
      <c r="I286" s="33"/>
      <c r="J286" s="42"/>
      <c r="K286" s="43"/>
      <c r="L286" s="44"/>
      <c r="M28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86" s="38">
        <f>tblDonnées[[#This Row],[MONTANT OPERATION]]+tblDonnées[[#This Row],[POS  FUSIONNEE CPTE AVANT OP]]</f>
        <v>0</v>
      </c>
      <c r="O286" s="17" t="str">
        <f>IF(ISBLANK(tblDonnées[[#This Row],[MONTANT AUTO]]), "N/A", ABS(tblDonnées[[#This Row],[POS  FUSIONNEE CPTE APRES OP]])-ABS(tblDonnées[[#This Row],[MONTANT AUTO]]))</f>
        <v>N/A</v>
      </c>
      <c r="P286" s="39" t="e">
        <f>tblDonnées[[#This Row],[DEPASSEMENT TOTAL SUR AUTO
]]/-tblDonnées[[#This Row],[MONTANT AUTO]]</f>
        <v>#VALUE!</v>
      </c>
      <c r="Q286" s="33"/>
      <c r="R286" s="33"/>
      <c r="S286" s="33"/>
      <c r="T286" s="40">
        <f>IF(tblDonnées[[#This Row],[0,5% du dép]]&lt;5000,5000,IF(tblDonnées[[#This Row],[0,5% du dép]]&gt;50000,50000,tblDonnées[[#This Row],[0,5% du dép]]))</f>
        <v>5000</v>
      </c>
      <c r="U286" s="10">
        <f>ABS(tblDonnées[[#This Row],[MONTANT DEPASSEMENT]]*0.005)</f>
        <v>0</v>
      </c>
      <c r="V286" s="33"/>
      <c r="W286" s="33"/>
      <c r="X286" s="33"/>
      <c r="Y286" s="33"/>
      <c r="Z286" s="33"/>
    </row>
    <row r="287" spans="1:26" x14ac:dyDescent="0.25">
      <c r="A287" s="33"/>
      <c r="B287" s="12"/>
      <c r="C287" s="33"/>
      <c r="D287" s="41"/>
      <c r="H287" s="21"/>
      <c r="I287" s="33"/>
      <c r="J287" s="42"/>
      <c r="K287" s="43"/>
      <c r="L287" s="44"/>
      <c r="M28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87" s="38">
        <f>tblDonnées[[#This Row],[MONTANT OPERATION]]+tblDonnées[[#This Row],[POS  FUSIONNEE CPTE AVANT OP]]</f>
        <v>0</v>
      </c>
      <c r="O287" s="17" t="str">
        <f>IF(ISBLANK(tblDonnées[[#This Row],[MONTANT AUTO]]), "N/A", ABS(tblDonnées[[#This Row],[POS  FUSIONNEE CPTE APRES OP]])-ABS(tblDonnées[[#This Row],[MONTANT AUTO]]))</f>
        <v>N/A</v>
      </c>
      <c r="P287" s="39" t="e">
        <f>tblDonnées[[#This Row],[DEPASSEMENT TOTAL SUR AUTO
]]/-tblDonnées[[#This Row],[MONTANT AUTO]]</f>
        <v>#VALUE!</v>
      </c>
      <c r="Q287" s="33"/>
      <c r="R287" s="33"/>
      <c r="S287" s="33"/>
      <c r="T287" s="40">
        <f>IF(tblDonnées[[#This Row],[0,5% du dép]]&lt;5000,5000,IF(tblDonnées[[#This Row],[0,5% du dép]]&gt;50000,50000,tblDonnées[[#This Row],[0,5% du dép]]))</f>
        <v>5000</v>
      </c>
      <c r="U287" s="10">
        <f>ABS(tblDonnées[[#This Row],[MONTANT DEPASSEMENT]]*0.005)</f>
        <v>0</v>
      </c>
      <c r="V287" s="33"/>
      <c r="W287" s="33"/>
      <c r="X287" s="33"/>
      <c r="Y287" s="33"/>
      <c r="Z287" s="33"/>
    </row>
    <row r="288" spans="1:26" x14ac:dyDescent="0.25">
      <c r="A288" s="33"/>
      <c r="B288" s="12"/>
      <c r="C288" s="33"/>
      <c r="D288" s="41"/>
      <c r="H288" s="21"/>
      <c r="I288" s="33"/>
      <c r="J288" s="42"/>
      <c r="K288" s="43"/>
      <c r="L288" s="44"/>
      <c r="M28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88" s="38">
        <f>tblDonnées[[#This Row],[MONTANT OPERATION]]+tblDonnées[[#This Row],[POS  FUSIONNEE CPTE AVANT OP]]</f>
        <v>0</v>
      </c>
      <c r="O288" s="17" t="str">
        <f>IF(ISBLANK(tblDonnées[[#This Row],[MONTANT AUTO]]), "N/A", ABS(tblDonnées[[#This Row],[POS  FUSIONNEE CPTE APRES OP]])-ABS(tblDonnées[[#This Row],[MONTANT AUTO]]))</f>
        <v>N/A</v>
      </c>
      <c r="P288" s="39" t="e">
        <f>tblDonnées[[#This Row],[DEPASSEMENT TOTAL SUR AUTO
]]/-tblDonnées[[#This Row],[MONTANT AUTO]]</f>
        <v>#VALUE!</v>
      </c>
      <c r="Q288" s="33"/>
      <c r="R288" s="33"/>
      <c r="S288" s="33"/>
      <c r="T288" s="40">
        <f>IF(tblDonnées[[#This Row],[0,5% du dép]]&lt;5000,5000,IF(tblDonnées[[#This Row],[0,5% du dép]]&gt;50000,50000,tblDonnées[[#This Row],[0,5% du dép]]))</f>
        <v>5000</v>
      </c>
      <c r="U288" s="10">
        <f>ABS(tblDonnées[[#This Row],[MONTANT DEPASSEMENT]]*0.005)</f>
        <v>0</v>
      </c>
      <c r="V288" s="33"/>
      <c r="W288" s="33"/>
      <c r="X288" s="33"/>
      <c r="Y288" s="33"/>
      <c r="Z288" s="33"/>
    </row>
    <row r="289" spans="1:26" x14ac:dyDescent="0.25">
      <c r="A289" s="33"/>
      <c r="B289" s="12"/>
      <c r="C289" s="33"/>
      <c r="D289" s="41"/>
      <c r="H289" s="21"/>
      <c r="I289" s="33"/>
      <c r="J289" s="42"/>
      <c r="K289" s="43"/>
      <c r="L289" s="44"/>
      <c r="M28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89" s="38">
        <f>tblDonnées[[#This Row],[MONTANT OPERATION]]+tblDonnées[[#This Row],[POS  FUSIONNEE CPTE AVANT OP]]</f>
        <v>0</v>
      </c>
      <c r="O289" s="17" t="str">
        <f>IF(ISBLANK(tblDonnées[[#This Row],[MONTANT AUTO]]), "N/A", ABS(tblDonnées[[#This Row],[POS  FUSIONNEE CPTE APRES OP]])-ABS(tblDonnées[[#This Row],[MONTANT AUTO]]))</f>
        <v>N/A</v>
      </c>
      <c r="P289" s="39" t="e">
        <f>tblDonnées[[#This Row],[DEPASSEMENT TOTAL SUR AUTO
]]/-tblDonnées[[#This Row],[MONTANT AUTO]]</f>
        <v>#VALUE!</v>
      </c>
      <c r="Q289" s="33"/>
      <c r="R289" s="33"/>
      <c r="S289" s="33"/>
      <c r="T289" s="40">
        <f>IF(tblDonnées[[#This Row],[0,5% du dép]]&lt;5000,5000,IF(tblDonnées[[#This Row],[0,5% du dép]]&gt;50000,50000,tblDonnées[[#This Row],[0,5% du dép]]))</f>
        <v>5000</v>
      </c>
      <c r="U289" s="10">
        <f>ABS(tblDonnées[[#This Row],[MONTANT DEPASSEMENT]]*0.005)</f>
        <v>0</v>
      </c>
      <c r="V289" s="33"/>
      <c r="W289" s="33"/>
      <c r="X289" s="33"/>
      <c r="Y289" s="33"/>
      <c r="Z289" s="33"/>
    </row>
    <row r="290" spans="1:26" x14ac:dyDescent="0.25">
      <c r="A290" s="33"/>
      <c r="B290" s="12"/>
      <c r="C290" s="33"/>
      <c r="D290" s="41"/>
      <c r="H290" s="21"/>
      <c r="I290" s="33"/>
      <c r="J290" s="42"/>
      <c r="K290" s="43"/>
      <c r="L290" s="44"/>
      <c r="M29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90" s="38">
        <f>tblDonnées[[#This Row],[MONTANT OPERATION]]+tblDonnées[[#This Row],[POS  FUSIONNEE CPTE AVANT OP]]</f>
        <v>0</v>
      </c>
      <c r="O290" s="17" t="str">
        <f>IF(ISBLANK(tblDonnées[[#This Row],[MONTANT AUTO]]), "N/A", ABS(tblDonnées[[#This Row],[POS  FUSIONNEE CPTE APRES OP]])-ABS(tblDonnées[[#This Row],[MONTANT AUTO]]))</f>
        <v>N/A</v>
      </c>
      <c r="P290" s="39" t="e">
        <f>tblDonnées[[#This Row],[DEPASSEMENT TOTAL SUR AUTO
]]/-tblDonnées[[#This Row],[MONTANT AUTO]]</f>
        <v>#VALUE!</v>
      </c>
      <c r="Q290" s="33"/>
      <c r="R290" s="33"/>
      <c r="S290" s="33"/>
      <c r="T290" s="40">
        <f>IF(tblDonnées[[#This Row],[0,5% du dép]]&lt;5000,5000,IF(tblDonnées[[#This Row],[0,5% du dép]]&gt;50000,50000,tblDonnées[[#This Row],[0,5% du dép]]))</f>
        <v>5000</v>
      </c>
      <c r="U290" s="10">
        <f>ABS(tblDonnées[[#This Row],[MONTANT DEPASSEMENT]]*0.005)</f>
        <v>0</v>
      </c>
      <c r="V290" s="33"/>
      <c r="W290" s="33"/>
      <c r="X290" s="33"/>
      <c r="Y290" s="33"/>
      <c r="Z290" s="33"/>
    </row>
    <row r="291" spans="1:26" x14ac:dyDescent="0.25">
      <c r="A291" s="33"/>
      <c r="B291" s="12"/>
      <c r="C291" s="33"/>
      <c r="D291" s="41"/>
      <c r="H291" s="21"/>
      <c r="I291" s="33"/>
      <c r="J291" s="42"/>
      <c r="K291" s="43"/>
      <c r="L291" s="44"/>
      <c r="M29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91" s="38">
        <f>tblDonnées[[#This Row],[MONTANT OPERATION]]+tblDonnées[[#This Row],[POS  FUSIONNEE CPTE AVANT OP]]</f>
        <v>0</v>
      </c>
      <c r="O291" s="17" t="str">
        <f>IF(ISBLANK(tblDonnées[[#This Row],[MONTANT AUTO]]), "N/A", ABS(tblDonnées[[#This Row],[POS  FUSIONNEE CPTE APRES OP]])-ABS(tblDonnées[[#This Row],[MONTANT AUTO]]))</f>
        <v>N/A</v>
      </c>
      <c r="P291" s="39" t="e">
        <f>tblDonnées[[#This Row],[DEPASSEMENT TOTAL SUR AUTO
]]/-tblDonnées[[#This Row],[MONTANT AUTO]]</f>
        <v>#VALUE!</v>
      </c>
      <c r="Q291" s="33"/>
      <c r="R291" s="33"/>
      <c r="S291" s="33"/>
      <c r="T291" s="40">
        <f>IF(tblDonnées[[#This Row],[0,5% du dép]]&lt;5000,5000,IF(tblDonnées[[#This Row],[0,5% du dép]]&gt;50000,50000,tblDonnées[[#This Row],[0,5% du dép]]))</f>
        <v>5000</v>
      </c>
      <c r="U291" s="10">
        <f>ABS(tblDonnées[[#This Row],[MONTANT DEPASSEMENT]]*0.005)</f>
        <v>0</v>
      </c>
      <c r="V291" s="33"/>
      <c r="W291" s="33"/>
      <c r="X291" s="33"/>
      <c r="Y291" s="33"/>
      <c r="Z291" s="33"/>
    </row>
    <row r="292" spans="1:26" x14ac:dyDescent="0.25">
      <c r="A292" s="33"/>
      <c r="B292" s="12"/>
      <c r="C292" s="33"/>
      <c r="D292" s="41"/>
      <c r="H292" s="21"/>
      <c r="I292" s="33"/>
      <c r="J292" s="42"/>
      <c r="K292" s="43"/>
      <c r="L292" s="44"/>
      <c r="M29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92" s="38">
        <f>tblDonnées[[#This Row],[MONTANT OPERATION]]+tblDonnées[[#This Row],[POS  FUSIONNEE CPTE AVANT OP]]</f>
        <v>0</v>
      </c>
      <c r="O292" s="17" t="str">
        <f>IF(ISBLANK(tblDonnées[[#This Row],[MONTANT AUTO]]), "N/A", ABS(tblDonnées[[#This Row],[POS  FUSIONNEE CPTE APRES OP]])-ABS(tblDonnées[[#This Row],[MONTANT AUTO]]))</f>
        <v>N/A</v>
      </c>
      <c r="P292" s="39" t="e">
        <f>tblDonnées[[#This Row],[DEPASSEMENT TOTAL SUR AUTO
]]/-tblDonnées[[#This Row],[MONTANT AUTO]]</f>
        <v>#VALUE!</v>
      </c>
      <c r="Q292" s="33"/>
      <c r="R292" s="33"/>
      <c r="S292" s="33"/>
      <c r="T292" s="40">
        <f>IF(tblDonnées[[#This Row],[0,5% du dép]]&lt;5000,5000,IF(tblDonnées[[#This Row],[0,5% du dép]]&gt;50000,50000,tblDonnées[[#This Row],[0,5% du dép]]))</f>
        <v>5000</v>
      </c>
      <c r="U292" s="10">
        <f>ABS(tblDonnées[[#This Row],[MONTANT DEPASSEMENT]]*0.005)</f>
        <v>0</v>
      </c>
      <c r="V292" s="33"/>
      <c r="W292" s="33"/>
      <c r="X292" s="33"/>
      <c r="Y292" s="33"/>
      <c r="Z292" s="33"/>
    </row>
    <row r="293" spans="1:26" x14ac:dyDescent="0.25">
      <c r="A293" s="33"/>
      <c r="B293" s="12"/>
      <c r="C293" s="33"/>
      <c r="D293" s="41"/>
      <c r="H293" s="21"/>
      <c r="I293" s="33"/>
      <c r="J293" s="42"/>
      <c r="K293" s="43"/>
      <c r="L293" s="44"/>
      <c r="M29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93" s="38">
        <f>tblDonnées[[#This Row],[MONTANT OPERATION]]+tblDonnées[[#This Row],[POS  FUSIONNEE CPTE AVANT OP]]</f>
        <v>0</v>
      </c>
      <c r="O293" s="17" t="str">
        <f>IF(ISBLANK(tblDonnées[[#This Row],[MONTANT AUTO]]), "N/A", ABS(tblDonnées[[#This Row],[POS  FUSIONNEE CPTE APRES OP]])-ABS(tblDonnées[[#This Row],[MONTANT AUTO]]))</f>
        <v>N/A</v>
      </c>
      <c r="P293" s="39" t="e">
        <f>tblDonnées[[#This Row],[DEPASSEMENT TOTAL SUR AUTO
]]/-tblDonnées[[#This Row],[MONTANT AUTO]]</f>
        <v>#VALUE!</v>
      </c>
      <c r="Q293" s="33"/>
      <c r="R293" s="33"/>
      <c r="S293" s="33"/>
      <c r="T293" s="40">
        <f>IF(tblDonnées[[#This Row],[0,5% du dép]]&lt;5000,5000,IF(tblDonnées[[#This Row],[0,5% du dép]]&gt;50000,50000,tblDonnées[[#This Row],[0,5% du dép]]))</f>
        <v>5000</v>
      </c>
      <c r="U293" s="10">
        <f>ABS(tblDonnées[[#This Row],[MONTANT DEPASSEMENT]]*0.005)</f>
        <v>0</v>
      </c>
      <c r="V293" s="33"/>
      <c r="W293" s="33"/>
      <c r="X293" s="33"/>
      <c r="Y293" s="33"/>
      <c r="Z293" s="33"/>
    </row>
    <row r="294" spans="1:26" x14ac:dyDescent="0.25">
      <c r="A294" s="33"/>
      <c r="B294" s="12"/>
      <c r="C294" s="33"/>
      <c r="D294" s="41"/>
      <c r="H294" s="21"/>
      <c r="I294" s="33"/>
      <c r="J294" s="42"/>
      <c r="K294" s="43"/>
      <c r="L294" s="44"/>
      <c r="M29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94" s="38">
        <f>tblDonnées[[#This Row],[MONTANT OPERATION]]+tblDonnées[[#This Row],[POS  FUSIONNEE CPTE AVANT OP]]</f>
        <v>0</v>
      </c>
      <c r="O294" s="17" t="str">
        <f>IF(ISBLANK(tblDonnées[[#This Row],[MONTANT AUTO]]), "N/A", ABS(tblDonnées[[#This Row],[POS  FUSIONNEE CPTE APRES OP]])-ABS(tblDonnées[[#This Row],[MONTANT AUTO]]))</f>
        <v>N/A</v>
      </c>
      <c r="P294" s="39" t="e">
        <f>tblDonnées[[#This Row],[DEPASSEMENT TOTAL SUR AUTO
]]/-tblDonnées[[#This Row],[MONTANT AUTO]]</f>
        <v>#VALUE!</v>
      </c>
      <c r="Q294" s="33"/>
      <c r="R294" s="33"/>
      <c r="S294" s="33"/>
      <c r="T294" s="40">
        <f>IF(tblDonnées[[#This Row],[0,5% du dép]]&lt;5000,5000,IF(tblDonnées[[#This Row],[0,5% du dép]]&gt;50000,50000,tblDonnées[[#This Row],[0,5% du dép]]))</f>
        <v>5000</v>
      </c>
      <c r="U294" s="10">
        <f>ABS(tblDonnées[[#This Row],[MONTANT DEPASSEMENT]]*0.005)</f>
        <v>0</v>
      </c>
      <c r="V294" s="33"/>
      <c r="W294" s="33"/>
      <c r="X294" s="33"/>
      <c r="Y294" s="33"/>
      <c r="Z294" s="33"/>
    </row>
    <row r="295" spans="1:26" x14ac:dyDescent="0.25">
      <c r="A295" s="33"/>
      <c r="B295" s="12"/>
      <c r="C295" s="33"/>
      <c r="D295" s="41"/>
      <c r="H295" s="21"/>
      <c r="I295" s="33"/>
      <c r="J295" s="42"/>
      <c r="K295" s="43"/>
      <c r="L295" s="44"/>
      <c r="M29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95" s="38">
        <f>tblDonnées[[#This Row],[MONTANT OPERATION]]+tblDonnées[[#This Row],[POS  FUSIONNEE CPTE AVANT OP]]</f>
        <v>0</v>
      </c>
      <c r="O295" s="17" t="str">
        <f>IF(ISBLANK(tblDonnées[[#This Row],[MONTANT AUTO]]), "N/A", ABS(tblDonnées[[#This Row],[POS  FUSIONNEE CPTE APRES OP]])-ABS(tblDonnées[[#This Row],[MONTANT AUTO]]))</f>
        <v>N/A</v>
      </c>
      <c r="P295" s="39" t="e">
        <f>tblDonnées[[#This Row],[DEPASSEMENT TOTAL SUR AUTO
]]/-tblDonnées[[#This Row],[MONTANT AUTO]]</f>
        <v>#VALUE!</v>
      </c>
      <c r="Q295" s="33"/>
      <c r="R295" s="33"/>
      <c r="S295" s="33"/>
      <c r="T295" s="40">
        <f>IF(tblDonnées[[#This Row],[0,5% du dép]]&lt;5000,5000,IF(tblDonnées[[#This Row],[0,5% du dép]]&gt;50000,50000,tblDonnées[[#This Row],[0,5% du dép]]))</f>
        <v>5000</v>
      </c>
      <c r="U295" s="10">
        <f>ABS(tblDonnées[[#This Row],[MONTANT DEPASSEMENT]]*0.005)</f>
        <v>0</v>
      </c>
      <c r="V295" s="33"/>
      <c r="W295" s="33"/>
      <c r="X295" s="33"/>
      <c r="Y295" s="33"/>
      <c r="Z295" s="33"/>
    </row>
    <row r="296" spans="1:26" x14ac:dyDescent="0.25">
      <c r="A296" s="33"/>
      <c r="B296" s="12"/>
      <c r="C296" s="33"/>
      <c r="D296" s="41"/>
      <c r="H296" s="21"/>
      <c r="I296" s="33"/>
      <c r="J296" s="42"/>
      <c r="K296" s="43"/>
      <c r="L296" s="44"/>
      <c r="M29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96" s="38">
        <f>tblDonnées[[#This Row],[MONTANT OPERATION]]+tblDonnées[[#This Row],[POS  FUSIONNEE CPTE AVANT OP]]</f>
        <v>0</v>
      </c>
      <c r="O296" s="17" t="str">
        <f>IF(ISBLANK(tblDonnées[[#This Row],[MONTANT AUTO]]), "N/A", ABS(tblDonnées[[#This Row],[POS  FUSIONNEE CPTE APRES OP]])-ABS(tblDonnées[[#This Row],[MONTANT AUTO]]))</f>
        <v>N/A</v>
      </c>
      <c r="P296" s="39" t="e">
        <f>tblDonnées[[#This Row],[DEPASSEMENT TOTAL SUR AUTO
]]/-tblDonnées[[#This Row],[MONTANT AUTO]]</f>
        <v>#VALUE!</v>
      </c>
      <c r="Q296" s="33"/>
      <c r="R296" s="33"/>
      <c r="S296" s="33"/>
      <c r="T296" s="40">
        <f>IF(tblDonnées[[#This Row],[0,5% du dép]]&lt;5000,5000,IF(tblDonnées[[#This Row],[0,5% du dép]]&gt;50000,50000,tblDonnées[[#This Row],[0,5% du dép]]))</f>
        <v>5000</v>
      </c>
      <c r="U296" s="10">
        <f>ABS(tblDonnées[[#This Row],[MONTANT DEPASSEMENT]]*0.005)</f>
        <v>0</v>
      </c>
      <c r="V296" s="33"/>
      <c r="W296" s="33"/>
      <c r="X296" s="33"/>
      <c r="Y296" s="33"/>
      <c r="Z296" s="33"/>
    </row>
    <row r="297" spans="1:26" x14ac:dyDescent="0.25">
      <c r="A297" s="33"/>
      <c r="B297" s="12"/>
      <c r="C297" s="33"/>
      <c r="D297" s="41"/>
      <c r="H297" s="21"/>
      <c r="I297" s="33"/>
      <c r="J297" s="42"/>
      <c r="K297" s="43"/>
      <c r="L297" s="44"/>
      <c r="M29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97" s="38">
        <f>tblDonnées[[#This Row],[MONTANT OPERATION]]+tblDonnées[[#This Row],[POS  FUSIONNEE CPTE AVANT OP]]</f>
        <v>0</v>
      </c>
      <c r="O297" s="17" t="str">
        <f>IF(ISBLANK(tblDonnées[[#This Row],[MONTANT AUTO]]), "N/A", ABS(tblDonnées[[#This Row],[POS  FUSIONNEE CPTE APRES OP]])-ABS(tblDonnées[[#This Row],[MONTANT AUTO]]))</f>
        <v>N/A</v>
      </c>
      <c r="P297" s="39" t="e">
        <f>tblDonnées[[#This Row],[DEPASSEMENT TOTAL SUR AUTO
]]/-tblDonnées[[#This Row],[MONTANT AUTO]]</f>
        <v>#VALUE!</v>
      </c>
      <c r="Q297" s="33"/>
      <c r="R297" s="33"/>
      <c r="S297" s="33"/>
      <c r="T297" s="40">
        <f>IF(tblDonnées[[#This Row],[0,5% du dép]]&lt;5000,5000,IF(tblDonnées[[#This Row],[0,5% du dép]]&gt;50000,50000,tblDonnées[[#This Row],[0,5% du dép]]))</f>
        <v>5000</v>
      </c>
      <c r="U297" s="10">
        <f>ABS(tblDonnées[[#This Row],[MONTANT DEPASSEMENT]]*0.005)</f>
        <v>0</v>
      </c>
      <c r="V297" s="33"/>
      <c r="W297" s="33"/>
      <c r="X297" s="33"/>
      <c r="Y297" s="33"/>
      <c r="Z297" s="33"/>
    </row>
    <row r="298" spans="1:26" x14ac:dyDescent="0.25">
      <c r="A298" s="33"/>
      <c r="B298" s="12"/>
      <c r="C298" s="33"/>
      <c r="D298" s="41"/>
      <c r="H298" s="21"/>
      <c r="I298" s="33"/>
      <c r="J298" s="42"/>
      <c r="K298" s="43"/>
      <c r="L298" s="44"/>
      <c r="M29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98" s="38">
        <f>tblDonnées[[#This Row],[MONTANT OPERATION]]+tblDonnées[[#This Row],[POS  FUSIONNEE CPTE AVANT OP]]</f>
        <v>0</v>
      </c>
      <c r="O298" s="17" t="str">
        <f>IF(ISBLANK(tblDonnées[[#This Row],[MONTANT AUTO]]), "N/A", ABS(tblDonnées[[#This Row],[POS  FUSIONNEE CPTE APRES OP]])-ABS(tblDonnées[[#This Row],[MONTANT AUTO]]))</f>
        <v>N/A</v>
      </c>
      <c r="P298" s="39" t="e">
        <f>tblDonnées[[#This Row],[DEPASSEMENT TOTAL SUR AUTO
]]/-tblDonnées[[#This Row],[MONTANT AUTO]]</f>
        <v>#VALUE!</v>
      </c>
      <c r="Q298" s="33"/>
      <c r="R298" s="33"/>
      <c r="S298" s="33"/>
      <c r="T298" s="40">
        <f>IF(tblDonnées[[#This Row],[0,5% du dép]]&lt;5000,5000,IF(tblDonnées[[#This Row],[0,5% du dép]]&gt;50000,50000,tblDonnées[[#This Row],[0,5% du dép]]))</f>
        <v>5000</v>
      </c>
      <c r="U298" s="10">
        <f>ABS(tblDonnées[[#This Row],[MONTANT DEPASSEMENT]]*0.005)</f>
        <v>0</v>
      </c>
      <c r="V298" s="33"/>
      <c r="W298" s="33"/>
      <c r="X298" s="33"/>
      <c r="Y298" s="33"/>
      <c r="Z298" s="33"/>
    </row>
    <row r="299" spans="1:26" x14ac:dyDescent="0.25">
      <c r="A299" s="33"/>
      <c r="B299" s="12"/>
      <c r="C299" s="33"/>
      <c r="D299" s="41"/>
      <c r="H299" s="21"/>
      <c r="I299" s="33"/>
      <c r="J299" s="42"/>
      <c r="K299" s="43"/>
      <c r="L299" s="44"/>
      <c r="M29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299" s="38">
        <f>tblDonnées[[#This Row],[MONTANT OPERATION]]+tblDonnées[[#This Row],[POS  FUSIONNEE CPTE AVANT OP]]</f>
        <v>0</v>
      </c>
      <c r="O299" s="17" t="str">
        <f>IF(ISBLANK(tblDonnées[[#This Row],[MONTANT AUTO]]), "N/A", ABS(tblDonnées[[#This Row],[POS  FUSIONNEE CPTE APRES OP]])-ABS(tblDonnées[[#This Row],[MONTANT AUTO]]))</f>
        <v>N/A</v>
      </c>
      <c r="P299" s="39" t="e">
        <f>tblDonnées[[#This Row],[DEPASSEMENT TOTAL SUR AUTO
]]/-tblDonnées[[#This Row],[MONTANT AUTO]]</f>
        <v>#VALUE!</v>
      </c>
      <c r="Q299" s="33"/>
      <c r="R299" s="33"/>
      <c r="S299" s="33"/>
      <c r="T299" s="40">
        <f>IF(tblDonnées[[#This Row],[0,5% du dép]]&lt;5000,5000,IF(tblDonnées[[#This Row],[0,5% du dép]]&gt;50000,50000,tblDonnées[[#This Row],[0,5% du dép]]))</f>
        <v>5000</v>
      </c>
      <c r="U299" s="10">
        <f>ABS(tblDonnées[[#This Row],[MONTANT DEPASSEMENT]]*0.005)</f>
        <v>0</v>
      </c>
      <c r="V299" s="33"/>
      <c r="W299" s="33"/>
      <c r="X299" s="33"/>
      <c r="Y299" s="33"/>
      <c r="Z299" s="33"/>
    </row>
    <row r="300" spans="1:26" x14ac:dyDescent="0.25">
      <c r="A300" s="33"/>
      <c r="B300" s="12"/>
      <c r="C300" s="33"/>
      <c r="D300" s="41"/>
      <c r="H300" s="21"/>
      <c r="I300" s="33"/>
      <c r="J300" s="42"/>
      <c r="K300" s="43"/>
      <c r="L300" s="44"/>
      <c r="M30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00" s="38">
        <f>tblDonnées[[#This Row],[MONTANT OPERATION]]+tblDonnées[[#This Row],[POS  FUSIONNEE CPTE AVANT OP]]</f>
        <v>0</v>
      </c>
      <c r="O300" s="17" t="str">
        <f>IF(ISBLANK(tblDonnées[[#This Row],[MONTANT AUTO]]), "N/A", ABS(tblDonnées[[#This Row],[POS  FUSIONNEE CPTE APRES OP]])-ABS(tblDonnées[[#This Row],[MONTANT AUTO]]))</f>
        <v>N/A</v>
      </c>
      <c r="P300" s="39" t="e">
        <f>tblDonnées[[#This Row],[DEPASSEMENT TOTAL SUR AUTO
]]/-tblDonnées[[#This Row],[MONTANT AUTO]]</f>
        <v>#VALUE!</v>
      </c>
      <c r="Q300" s="33"/>
      <c r="R300" s="33"/>
      <c r="S300" s="33"/>
      <c r="T300" s="40">
        <f>IF(tblDonnées[[#This Row],[0,5% du dép]]&lt;5000,5000,IF(tblDonnées[[#This Row],[0,5% du dép]]&gt;50000,50000,tblDonnées[[#This Row],[0,5% du dép]]))</f>
        <v>5000</v>
      </c>
      <c r="U300" s="10">
        <f>ABS(tblDonnées[[#This Row],[MONTANT DEPASSEMENT]]*0.005)</f>
        <v>0</v>
      </c>
      <c r="V300" s="33"/>
      <c r="W300" s="33"/>
      <c r="X300" s="33"/>
      <c r="Y300" s="33"/>
      <c r="Z300" s="33"/>
    </row>
    <row r="301" spans="1:26" x14ac:dyDescent="0.25">
      <c r="A301" s="33"/>
      <c r="B301" s="12"/>
      <c r="C301" s="33"/>
      <c r="D301" s="41"/>
      <c r="H301" s="21"/>
      <c r="I301" s="33"/>
      <c r="J301" s="42"/>
      <c r="K301" s="43"/>
      <c r="L301" s="44"/>
      <c r="M30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01" s="38">
        <f>tblDonnées[[#This Row],[MONTANT OPERATION]]+tblDonnées[[#This Row],[POS  FUSIONNEE CPTE AVANT OP]]</f>
        <v>0</v>
      </c>
      <c r="O301" s="17" t="str">
        <f>IF(ISBLANK(tblDonnées[[#This Row],[MONTANT AUTO]]), "N/A", ABS(tblDonnées[[#This Row],[POS  FUSIONNEE CPTE APRES OP]])-ABS(tblDonnées[[#This Row],[MONTANT AUTO]]))</f>
        <v>N/A</v>
      </c>
      <c r="P301" s="39" t="e">
        <f>tblDonnées[[#This Row],[DEPASSEMENT TOTAL SUR AUTO
]]/-tblDonnées[[#This Row],[MONTANT AUTO]]</f>
        <v>#VALUE!</v>
      </c>
      <c r="Q301" s="33"/>
      <c r="R301" s="33"/>
      <c r="S301" s="33"/>
      <c r="T301" s="40">
        <f>IF(tblDonnées[[#This Row],[0,5% du dép]]&lt;5000,5000,IF(tblDonnées[[#This Row],[0,5% du dép]]&gt;50000,50000,tblDonnées[[#This Row],[0,5% du dép]]))</f>
        <v>5000</v>
      </c>
      <c r="U301" s="10">
        <f>ABS(tblDonnées[[#This Row],[MONTANT DEPASSEMENT]]*0.005)</f>
        <v>0</v>
      </c>
      <c r="V301" s="33"/>
      <c r="W301" s="33"/>
      <c r="X301" s="33"/>
      <c r="Y301" s="33"/>
      <c r="Z301" s="33"/>
    </row>
    <row r="302" spans="1:26" x14ac:dyDescent="0.25">
      <c r="A302" s="33"/>
      <c r="B302" s="12"/>
      <c r="C302" s="33"/>
      <c r="D302" s="41"/>
      <c r="H302" s="21"/>
      <c r="I302" s="33"/>
      <c r="J302" s="42"/>
      <c r="K302" s="43"/>
      <c r="L302" s="44"/>
      <c r="M30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02" s="38">
        <f>tblDonnées[[#This Row],[MONTANT OPERATION]]+tblDonnées[[#This Row],[POS  FUSIONNEE CPTE AVANT OP]]</f>
        <v>0</v>
      </c>
      <c r="O302" s="17" t="str">
        <f>IF(ISBLANK(tblDonnées[[#This Row],[MONTANT AUTO]]), "N/A", ABS(tblDonnées[[#This Row],[POS  FUSIONNEE CPTE APRES OP]])-ABS(tblDonnées[[#This Row],[MONTANT AUTO]]))</f>
        <v>N/A</v>
      </c>
      <c r="P302" s="39" t="e">
        <f>tblDonnées[[#This Row],[DEPASSEMENT TOTAL SUR AUTO
]]/-tblDonnées[[#This Row],[MONTANT AUTO]]</f>
        <v>#VALUE!</v>
      </c>
      <c r="Q302" s="33"/>
      <c r="R302" s="33"/>
      <c r="S302" s="33"/>
      <c r="T302" s="40">
        <f>IF(tblDonnées[[#This Row],[0,5% du dép]]&lt;5000,5000,IF(tblDonnées[[#This Row],[0,5% du dép]]&gt;50000,50000,tblDonnées[[#This Row],[0,5% du dép]]))</f>
        <v>5000</v>
      </c>
      <c r="U302" s="10">
        <f>ABS(tblDonnées[[#This Row],[MONTANT DEPASSEMENT]]*0.005)</f>
        <v>0</v>
      </c>
      <c r="V302" s="33"/>
      <c r="W302" s="33"/>
      <c r="X302" s="33"/>
      <c r="Y302" s="33"/>
      <c r="Z302" s="33"/>
    </row>
    <row r="303" spans="1:26" x14ac:dyDescent="0.25">
      <c r="A303" s="33"/>
      <c r="B303" s="12"/>
      <c r="C303" s="33"/>
      <c r="D303" s="41"/>
      <c r="H303" s="21"/>
      <c r="I303" s="33"/>
      <c r="J303" s="42"/>
      <c r="K303" s="43"/>
      <c r="L303" s="44"/>
      <c r="M30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03" s="38">
        <f>tblDonnées[[#This Row],[MONTANT OPERATION]]+tblDonnées[[#This Row],[POS  FUSIONNEE CPTE AVANT OP]]</f>
        <v>0</v>
      </c>
      <c r="O303" s="17" t="str">
        <f>IF(ISBLANK(tblDonnées[[#This Row],[MONTANT AUTO]]), "N/A", ABS(tblDonnées[[#This Row],[POS  FUSIONNEE CPTE APRES OP]])-ABS(tblDonnées[[#This Row],[MONTANT AUTO]]))</f>
        <v>N/A</v>
      </c>
      <c r="P303" s="39" t="e">
        <f>tblDonnées[[#This Row],[DEPASSEMENT TOTAL SUR AUTO
]]/-tblDonnées[[#This Row],[MONTANT AUTO]]</f>
        <v>#VALUE!</v>
      </c>
      <c r="Q303" s="33"/>
      <c r="R303" s="33"/>
      <c r="S303" s="33"/>
      <c r="T303" s="40">
        <f>IF(tblDonnées[[#This Row],[0,5% du dép]]&lt;5000,5000,IF(tblDonnées[[#This Row],[0,5% du dép]]&gt;50000,50000,tblDonnées[[#This Row],[0,5% du dép]]))</f>
        <v>5000</v>
      </c>
      <c r="U303" s="10">
        <f>ABS(tblDonnées[[#This Row],[MONTANT DEPASSEMENT]]*0.005)</f>
        <v>0</v>
      </c>
      <c r="V303" s="33"/>
      <c r="W303" s="33"/>
      <c r="X303" s="33"/>
      <c r="Y303" s="33"/>
      <c r="Z303" s="33"/>
    </row>
    <row r="304" spans="1:26" x14ac:dyDescent="0.25">
      <c r="A304" s="33"/>
      <c r="B304" s="12"/>
      <c r="C304" s="33"/>
      <c r="D304" s="41"/>
      <c r="H304" s="21"/>
      <c r="I304" s="33"/>
      <c r="J304" s="42"/>
      <c r="K304" s="43"/>
      <c r="L304" s="44"/>
      <c r="M30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04" s="38">
        <f>tblDonnées[[#This Row],[MONTANT OPERATION]]+tblDonnées[[#This Row],[POS  FUSIONNEE CPTE AVANT OP]]</f>
        <v>0</v>
      </c>
      <c r="O304" s="17" t="str">
        <f>IF(ISBLANK(tblDonnées[[#This Row],[MONTANT AUTO]]), "N/A", ABS(tblDonnées[[#This Row],[POS  FUSIONNEE CPTE APRES OP]])-ABS(tblDonnées[[#This Row],[MONTANT AUTO]]))</f>
        <v>N/A</v>
      </c>
      <c r="P304" s="39" t="e">
        <f>tblDonnées[[#This Row],[DEPASSEMENT TOTAL SUR AUTO
]]/-tblDonnées[[#This Row],[MONTANT AUTO]]</f>
        <v>#VALUE!</v>
      </c>
      <c r="Q304" s="33"/>
      <c r="R304" s="33"/>
      <c r="S304" s="33"/>
      <c r="T304" s="40">
        <f>IF(tblDonnées[[#This Row],[0,5% du dép]]&lt;5000,5000,IF(tblDonnées[[#This Row],[0,5% du dép]]&gt;50000,50000,tblDonnées[[#This Row],[0,5% du dép]]))</f>
        <v>5000</v>
      </c>
      <c r="U304" s="10">
        <f>ABS(tblDonnées[[#This Row],[MONTANT DEPASSEMENT]]*0.005)</f>
        <v>0</v>
      </c>
      <c r="V304" s="33"/>
      <c r="W304" s="33"/>
      <c r="X304" s="33"/>
      <c r="Y304" s="33"/>
      <c r="Z304" s="33"/>
    </row>
    <row r="305" spans="1:26" x14ac:dyDescent="0.25">
      <c r="A305" s="33"/>
      <c r="B305" s="12"/>
      <c r="C305" s="33"/>
      <c r="D305" s="41"/>
      <c r="H305" s="21"/>
      <c r="I305" s="33"/>
      <c r="J305" s="42"/>
      <c r="K305" s="43"/>
      <c r="L305" s="44"/>
      <c r="M30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05" s="38">
        <f>tblDonnées[[#This Row],[MONTANT OPERATION]]+tblDonnées[[#This Row],[POS  FUSIONNEE CPTE AVANT OP]]</f>
        <v>0</v>
      </c>
      <c r="O305" s="17" t="str">
        <f>IF(ISBLANK(tblDonnées[[#This Row],[MONTANT AUTO]]), "N/A", ABS(tblDonnées[[#This Row],[POS  FUSIONNEE CPTE APRES OP]])-ABS(tblDonnées[[#This Row],[MONTANT AUTO]]))</f>
        <v>N/A</v>
      </c>
      <c r="P305" s="39" t="e">
        <f>tblDonnées[[#This Row],[DEPASSEMENT TOTAL SUR AUTO
]]/-tblDonnées[[#This Row],[MONTANT AUTO]]</f>
        <v>#VALUE!</v>
      </c>
      <c r="Q305" s="33"/>
      <c r="R305" s="33"/>
      <c r="S305" s="33"/>
      <c r="T305" s="40">
        <f>IF(tblDonnées[[#This Row],[0,5% du dép]]&lt;5000,5000,IF(tblDonnées[[#This Row],[0,5% du dép]]&gt;50000,50000,tblDonnées[[#This Row],[0,5% du dép]]))</f>
        <v>5000</v>
      </c>
      <c r="U305" s="10">
        <f>ABS(tblDonnées[[#This Row],[MONTANT DEPASSEMENT]]*0.005)</f>
        <v>0</v>
      </c>
      <c r="V305" s="33"/>
      <c r="W305" s="33"/>
      <c r="X305" s="33"/>
      <c r="Y305" s="33"/>
      <c r="Z305" s="33"/>
    </row>
    <row r="306" spans="1:26" x14ac:dyDescent="0.25">
      <c r="A306" s="33"/>
      <c r="B306" s="12"/>
      <c r="C306" s="33"/>
      <c r="D306" s="41"/>
      <c r="H306" s="21"/>
      <c r="I306" s="33"/>
      <c r="J306" s="42"/>
      <c r="K306" s="43"/>
      <c r="L306" s="44"/>
      <c r="M30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06" s="38">
        <f>tblDonnées[[#This Row],[MONTANT OPERATION]]+tblDonnées[[#This Row],[POS  FUSIONNEE CPTE AVANT OP]]</f>
        <v>0</v>
      </c>
      <c r="O306" s="17" t="str">
        <f>IF(ISBLANK(tblDonnées[[#This Row],[MONTANT AUTO]]), "N/A", ABS(tblDonnées[[#This Row],[POS  FUSIONNEE CPTE APRES OP]])-ABS(tblDonnées[[#This Row],[MONTANT AUTO]]))</f>
        <v>N/A</v>
      </c>
      <c r="P306" s="39" t="e">
        <f>tblDonnées[[#This Row],[DEPASSEMENT TOTAL SUR AUTO
]]/-tblDonnées[[#This Row],[MONTANT AUTO]]</f>
        <v>#VALUE!</v>
      </c>
      <c r="Q306" s="33"/>
      <c r="R306" s="33"/>
      <c r="S306" s="33"/>
      <c r="T306" s="40">
        <f>IF(tblDonnées[[#This Row],[0,5% du dép]]&lt;5000,5000,IF(tblDonnées[[#This Row],[0,5% du dép]]&gt;50000,50000,tblDonnées[[#This Row],[0,5% du dép]]))</f>
        <v>5000</v>
      </c>
      <c r="U306" s="10">
        <f>ABS(tblDonnées[[#This Row],[MONTANT DEPASSEMENT]]*0.005)</f>
        <v>0</v>
      </c>
      <c r="V306" s="33"/>
      <c r="W306" s="33"/>
      <c r="X306" s="33"/>
      <c r="Y306" s="33"/>
      <c r="Z306" s="33"/>
    </row>
    <row r="307" spans="1:26" x14ac:dyDescent="0.25">
      <c r="A307" s="33"/>
      <c r="B307" s="12"/>
      <c r="C307" s="33"/>
      <c r="D307" s="41"/>
      <c r="H307" s="21"/>
      <c r="I307" s="33"/>
      <c r="J307" s="42"/>
      <c r="K307" s="43"/>
      <c r="L307" s="44"/>
      <c r="M30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07" s="38">
        <f>tblDonnées[[#This Row],[MONTANT OPERATION]]+tblDonnées[[#This Row],[POS  FUSIONNEE CPTE AVANT OP]]</f>
        <v>0</v>
      </c>
      <c r="O307" s="17" t="str">
        <f>IF(ISBLANK(tblDonnées[[#This Row],[MONTANT AUTO]]), "N/A", ABS(tblDonnées[[#This Row],[POS  FUSIONNEE CPTE APRES OP]])-ABS(tblDonnées[[#This Row],[MONTANT AUTO]]))</f>
        <v>N/A</v>
      </c>
      <c r="P307" s="39" t="e">
        <f>tblDonnées[[#This Row],[DEPASSEMENT TOTAL SUR AUTO
]]/-tblDonnées[[#This Row],[MONTANT AUTO]]</f>
        <v>#VALUE!</v>
      </c>
      <c r="Q307" s="33"/>
      <c r="R307" s="33"/>
      <c r="S307" s="33"/>
      <c r="T307" s="40">
        <f>IF(tblDonnées[[#This Row],[0,5% du dép]]&lt;5000,5000,IF(tblDonnées[[#This Row],[0,5% du dép]]&gt;50000,50000,tblDonnées[[#This Row],[0,5% du dép]]))</f>
        <v>5000</v>
      </c>
      <c r="U307" s="10">
        <f>ABS(tblDonnées[[#This Row],[MONTANT DEPASSEMENT]]*0.005)</f>
        <v>0</v>
      </c>
      <c r="V307" s="33"/>
      <c r="W307" s="33"/>
      <c r="X307" s="33"/>
      <c r="Y307" s="33"/>
      <c r="Z307" s="33"/>
    </row>
    <row r="308" spans="1:26" x14ac:dyDescent="0.25">
      <c r="A308" s="33"/>
      <c r="B308" s="12"/>
      <c r="C308" s="33"/>
      <c r="D308" s="41"/>
      <c r="H308" s="21"/>
      <c r="I308" s="33"/>
      <c r="J308" s="42"/>
      <c r="K308" s="43"/>
      <c r="L308" s="44"/>
      <c r="M30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08" s="38">
        <f>tblDonnées[[#This Row],[MONTANT OPERATION]]+tblDonnées[[#This Row],[POS  FUSIONNEE CPTE AVANT OP]]</f>
        <v>0</v>
      </c>
      <c r="O308" s="17" t="str">
        <f>IF(ISBLANK(tblDonnées[[#This Row],[MONTANT AUTO]]), "N/A", ABS(tblDonnées[[#This Row],[POS  FUSIONNEE CPTE APRES OP]])-ABS(tblDonnées[[#This Row],[MONTANT AUTO]]))</f>
        <v>N/A</v>
      </c>
      <c r="P308" s="39" t="e">
        <f>tblDonnées[[#This Row],[DEPASSEMENT TOTAL SUR AUTO
]]/-tblDonnées[[#This Row],[MONTANT AUTO]]</f>
        <v>#VALUE!</v>
      </c>
      <c r="Q308" s="33"/>
      <c r="R308" s="33"/>
      <c r="S308" s="33"/>
      <c r="T308" s="40">
        <f>IF(tblDonnées[[#This Row],[0,5% du dép]]&lt;5000,5000,IF(tblDonnées[[#This Row],[0,5% du dép]]&gt;50000,50000,tblDonnées[[#This Row],[0,5% du dép]]))</f>
        <v>5000</v>
      </c>
      <c r="U308" s="10">
        <f>ABS(tblDonnées[[#This Row],[MONTANT DEPASSEMENT]]*0.005)</f>
        <v>0</v>
      </c>
      <c r="V308" s="33"/>
      <c r="W308" s="33"/>
      <c r="X308" s="33"/>
      <c r="Y308" s="33"/>
      <c r="Z308" s="33"/>
    </row>
    <row r="309" spans="1:26" x14ac:dyDescent="0.25">
      <c r="A309" s="33"/>
      <c r="B309" s="12"/>
      <c r="C309" s="33"/>
      <c r="D309" s="41"/>
      <c r="H309" s="21"/>
      <c r="I309" s="33"/>
      <c r="J309" s="42"/>
      <c r="K309" s="43"/>
      <c r="L309" s="44"/>
      <c r="M30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09" s="38">
        <f>tblDonnées[[#This Row],[MONTANT OPERATION]]+tblDonnées[[#This Row],[POS  FUSIONNEE CPTE AVANT OP]]</f>
        <v>0</v>
      </c>
      <c r="O309" s="17" t="str">
        <f>IF(ISBLANK(tblDonnées[[#This Row],[MONTANT AUTO]]), "N/A", ABS(tblDonnées[[#This Row],[POS  FUSIONNEE CPTE APRES OP]])-ABS(tblDonnées[[#This Row],[MONTANT AUTO]]))</f>
        <v>N/A</v>
      </c>
      <c r="P309" s="39" t="e">
        <f>tblDonnées[[#This Row],[DEPASSEMENT TOTAL SUR AUTO
]]/-tblDonnées[[#This Row],[MONTANT AUTO]]</f>
        <v>#VALUE!</v>
      </c>
      <c r="Q309" s="33"/>
      <c r="R309" s="33"/>
      <c r="S309" s="33"/>
      <c r="T309" s="40">
        <f>IF(tblDonnées[[#This Row],[0,5% du dép]]&lt;5000,5000,IF(tblDonnées[[#This Row],[0,5% du dép]]&gt;50000,50000,tblDonnées[[#This Row],[0,5% du dép]]))</f>
        <v>5000</v>
      </c>
      <c r="U309" s="10">
        <f>ABS(tblDonnées[[#This Row],[MONTANT DEPASSEMENT]]*0.005)</f>
        <v>0</v>
      </c>
      <c r="V309" s="33"/>
      <c r="W309" s="33"/>
      <c r="X309" s="33"/>
      <c r="Y309" s="33"/>
      <c r="Z309" s="33"/>
    </row>
    <row r="310" spans="1:26" x14ac:dyDescent="0.25">
      <c r="A310" s="33"/>
      <c r="B310" s="12"/>
      <c r="C310" s="33"/>
      <c r="D310" s="41"/>
      <c r="H310" s="21"/>
      <c r="I310" s="33"/>
      <c r="J310" s="42"/>
      <c r="K310" s="43"/>
      <c r="L310" s="44"/>
      <c r="M31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10" s="38">
        <f>tblDonnées[[#This Row],[MONTANT OPERATION]]+tblDonnées[[#This Row],[POS  FUSIONNEE CPTE AVANT OP]]</f>
        <v>0</v>
      </c>
      <c r="O310" s="17" t="str">
        <f>IF(ISBLANK(tblDonnées[[#This Row],[MONTANT AUTO]]), "N/A", ABS(tblDonnées[[#This Row],[POS  FUSIONNEE CPTE APRES OP]])-ABS(tblDonnées[[#This Row],[MONTANT AUTO]]))</f>
        <v>N/A</v>
      </c>
      <c r="P310" s="39" t="e">
        <f>tblDonnées[[#This Row],[DEPASSEMENT TOTAL SUR AUTO
]]/-tblDonnées[[#This Row],[MONTANT AUTO]]</f>
        <v>#VALUE!</v>
      </c>
      <c r="Q310" s="33"/>
      <c r="R310" s="33"/>
      <c r="S310" s="33"/>
      <c r="T310" s="40">
        <f>IF(tblDonnées[[#This Row],[0,5% du dép]]&lt;5000,5000,IF(tblDonnées[[#This Row],[0,5% du dép]]&gt;50000,50000,tblDonnées[[#This Row],[0,5% du dép]]))</f>
        <v>5000</v>
      </c>
      <c r="U310" s="10">
        <f>ABS(tblDonnées[[#This Row],[MONTANT DEPASSEMENT]]*0.005)</f>
        <v>0</v>
      </c>
      <c r="V310" s="33"/>
      <c r="W310" s="33"/>
      <c r="X310" s="33"/>
      <c r="Y310" s="33"/>
      <c r="Z310" s="33"/>
    </row>
    <row r="311" spans="1:26" x14ac:dyDescent="0.25">
      <c r="A311" s="33"/>
      <c r="B311" s="12"/>
      <c r="C311" s="33"/>
      <c r="D311" s="41"/>
      <c r="H311" s="21"/>
      <c r="I311" s="33"/>
      <c r="J311" s="42"/>
      <c r="K311" s="43"/>
      <c r="L311" s="44"/>
      <c r="M31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11" s="38">
        <f>tblDonnées[[#This Row],[MONTANT OPERATION]]+tblDonnées[[#This Row],[POS  FUSIONNEE CPTE AVANT OP]]</f>
        <v>0</v>
      </c>
      <c r="O311" s="17" t="str">
        <f>IF(ISBLANK(tblDonnées[[#This Row],[MONTANT AUTO]]), "N/A", ABS(tblDonnées[[#This Row],[POS  FUSIONNEE CPTE APRES OP]])-ABS(tblDonnées[[#This Row],[MONTANT AUTO]]))</f>
        <v>N/A</v>
      </c>
      <c r="P311" s="39" t="e">
        <f>tblDonnées[[#This Row],[DEPASSEMENT TOTAL SUR AUTO
]]/-tblDonnées[[#This Row],[MONTANT AUTO]]</f>
        <v>#VALUE!</v>
      </c>
      <c r="Q311" s="33"/>
      <c r="R311" s="33"/>
      <c r="S311" s="33"/>
      <c r="T311" s="40">
        <f>IF(tblDonnées[[#This Row],[0,5% du dép]]&lt;5000,5000,IF(tblDonnées[[#This Row],[0,5% du dép]]&gt;50000,50000,tblDonnées[[#This Row],[0,5% du dép]]))</f>
        <v>5000</v>
      </c>
      <c r="U311" s="10">
        <f>ABS(tblDonnées[[#This Row],[MONTANT DEPASSEMENT]]*0.005)</f>
        <v>0</v>
      </c>
      <c r="V311" s="33"/>
      <c r="W311" s="33"/>
      <c r="X311" s="33"/>
      <c r="Y311" s="33"/>
      <c r="Z311" s="33"/>
    </row>
    <row r="312" spans="1:26" x14ac:dyDescent="0.25">
      <c r="A312" s="33"/>
      <c r="B312" s="12"/>
      <c r="C312" s="33"/>
      <c r="D312" s="41"/>
      <c r="H312" s="21"/>
      <c r="I312" s="33"/>
      <c r="J312" s="42"/>
      <c r="K312" s="43"/>
      <c r="L312" s="44"/>
      <c r="M31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12" s="38">
        <f>tblDonnées[[#This Row],[MONTANT OPERATION]]+tblDonnées[[#This Row],[POS  FUSIONNEE CPTE AVANT OP]]</f>
        <v>0</v>
      </c>
      <c r="O312" s="17" t="str">
        <f>IF(ISBLANK(tblDonnées[[#This Row],[MONTANT AUTO]]), "N/A", ABS(tblDonnées[[#This Row],[POS  FUSIONNEE CPTE APRES OP]])-ABS(tblDonnées[[#This Row],[MONTANT AUTO]]))</f>
        <v>N/A</v>
      </c>
      <c r="P312" s="39" t="e">
        <f>tblDonnées[[#This Row],[DEPASSEMENT TOTAL SUR AUTO
]]/-tblDonnées[[#This Row],[MONTANT AUTO]]</f>
        <v>#VALUE!</v>
      </c>
      <c r="Q312" s="33"/>
      <c r="R312" s="33"/>
      <c r="S312" s="33"/>
      <c r="T312" s="40">
        <f>IF(tblDonnées[[#This Row],[0,5% du dép]]&lt;5000,5000,IF(tblDonnées[[#This Row],[0,5% du dép]]&gt;50000,50000,tblDonnées[[#This Row],[0,5% du dép]]))</f>
        <v>5000</v>
      </c>
      <c r="U312" s="10">
        <f>ABS(tblDonnées[[#This Row],[MONTANT DEPASSEMENT]]*0.005)</f>
        <v>0</v>
      </c>
      <c r="V312" s="33"/>
      <c r="W312" s="33"/>
      <c r="X312" s="33"/>
      <c r="Y312" s="33"/>
      <c r="Z312" s="33"/>
    </row>
    <row r="313" spans="1:26" x14ac:dyDescent="0.25">
      <c r="A313" s="33"/>
      <c r="B313" s="12"/>
      <c r="C313" s="33"/>
      <c r="D313" s="41"/>
      <c r="H313" s="21"/>
      <c r="I313" s="33"/>
      <c r="J313" s="42"/>
      <c r="K313" s="43"/>
      <c r="L313" s="44"/>
      <c r="M31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13" s="38">
        <f>tblDonnées[[#This Row],[MONTANT OPERATION]]+tblDonnées[[#This Row],[POS  FUSIONNEE CPTE AVANT OP]]</f>
        <v>0</v>
      </c>
      <c r="O313" s="17" t="str">
        <f>IF(ISBLANK(tblDonnées[[#This Row],[MONTANT AUTO]]), "N/A", ABS(tblDonnées[[#This Row],[POS  FUSIONNEE CPTE APRES OP]])-ABS(tblDonnées[[#This Row],[MONTANT AUTO]]))</f>
        <v>N/A</v>
      </c>
      <c r="P313" s="39" t="e">
        <f>tblDonnées[[#This Row],[DEPASSEMENT TOTAL SUR AUTO
]]/-tblDonnées[[#This Row],[MONTANT AUTO]]</f>
        <v>#VALUE!</v>
      </c>
      <c r="Q313" s="33"/>
      <c r="R313" s="33"/>
      <c r="S313" s="33"/>
      <c r="T313" s="40">
        <f>IF(tblDonnées[[#This Row],[0,5% du dép]]&lt;5000,5000,IF(tblDonnées[[#This Row],[0,5% du dép]]&gt;50000,50000,tblDonnées[[#This Row],[0,5% du dép]]))</f>
        <v>5000</v>
      </c>
      <c r="U313" s="10">
        <f>ABS(tblDonnées[[#This Row],[MONTANT DEPASSEMENT]]*0.005)</f>
        <v>0</v>
      </c>
      <c r="V313" s="33"/>
      <c r="W313" s="33"/>
      <c r="X313" s="33"/>
      <c r="Y313" s="33"/>
      <c r="Z313" s="33"/>
    </row>
    <row r="314" spans="1:26" x14ac:dyDescent="0.25">
      <c r="A314" s="33"/>
      <c r="B314" s="12"/>
      <c r="C314" s="33"/>
      <c r="D314" s="41"/>
      <c r="H314" s="21"/>
      <c r="I314" s="33"/>
      <c r="J314" s="42"/>
      <c r="K314" s="43"/>
      <c r="L314" s="44"/>
      <c r="M31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14" s="38">
        <f>tblDonnées[[#This Row],[MONTANT OPERATION]]+tblDonnées[[#This Row],[POS  FUSIONNEE CPTE AVANT OP]]</f>
        <v>0</v>
      </c>
      <c r="O314" s="17" t="str">
        <f>IF(ISBLANK(tblDonnées[[#This Row],[MONTANT AUTO]]), "N/A", ABS(tblDonnées[[#This Row],[POS  FUSIONNEE CPTE APRES OP]])-ABS(tblDonnées[[#This Row],[MONTANT AUTO]]))</f>
        <v>N/A</v>
      </c>
      <c r="P314" s="39" t="e">
        <f>tblDonnées[[#This Row],[DEPASSEMENT TOTAL SUR AUTO
]]/-tblDonnées[[#This Row],[MONTANT AUTO]]</f>
        <v>#VALUE!</v>
      </c>
      <c r="Q314" s="33"/>
      <c r="R314" s="33"/>
      <c r="S314" s="33"/>
      <c r="T314" s="40">
        <f>IF(tblDonnées[[#This Row],[0,5% du dép]]&lt;5000,5000,IF(tblDonnées[[#This Row],[0,5% du dép]]&gt;50000,50000,tblDonnées[[#This Row],[0,5% du dép]]))</f>
        <v>5000</v>
      </c>
      <c r="U314" s="10">
        <f>ABS(tblDonnées[[#This Row],[MONTANT DEPASSEMENT]]*0.005)</f>
        <v>0</v>
      </c>
      <c r="V314" s="33"/>
      <c r="W314" s="33"/>
      <c r="X314" s="33"/>
      <c r="Y314" s="33"/>
      <c r="Z314" s="33"/>
    </row>
    <row r="315" spans="1:26" x14ac:dyDescent="0.25">
      <c r="A315" s="33"/>
      <c r="B315" s="12"/>
      <c r="C315" s="33"/>
      <c r="D315" s="41"/>
      <c r="H315" s="21"/>
      <c r="I315" s="33"/>
      <c r="J315" s="42"/>
      <c r="K315" s="43"/>
      <c r="L315" s="44"/>
      <c r="M31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15" s="38">
        <f>tblDonnées[[#This Row],[MONTANT OPERATION]]+tblDonnées[[#This Row],[POS  FUSIONNEE CPTE AVANT OP]]</f>
        <v>0</v>
      </c>
      <c r="O315" s="17" t="str">
        <f>IF(ISBLANK(tblDonnées[[#This Row],[MONTANT AUTO]]), "N/A", ABS(tblDonnées[[#This Row],[POS  FUSIONNEE CPTE APRES OP]])-ABS(tblDonnées[[#This Row],[MONTANT AUTO]]))</f>
        <v>N/A</v>
      </c>
      <c r="P315" s="39" t="e">
        <f>tblDonnées[[#This Row],[DEPASSEMENT TOTAL SUR AUTO
]]/-tblDonnées[[#This Row],[MONTANT AUTO]]</f>
        <v>#VALUE!</v>
      </c>
      <c r="Q315" s="33"/>
      <c r="R315" s="33"/>
      <c r="S315" s="33"/>
      <c r="T315" s="40">
        <f>IF(tblDonnées[[#This Row],[0,5% du dép]]&lt;5000,5000,IF(tblDonnées[[#This Row],[0,5% du dép]]&gt;50000,50000,tblDonnées[[#This Row],[0,5% du dép]]))</f>
        <v>5000</v>
      </c>
      <c r="U315" s="10">
        <f>ABS(tblDonnées[[#This Row],[MONTANT DEPASSEMENT]]*0.005)</f>
        <v>0</v>
      </c>
      <c r="V315" s="33"/>
      <c r="W315" s="33"/>
      <c r="X315" s="33"/>
      <c r="Y315" s="33"/>
      <c r="Z315" s="33"/>
    </row>
    <row r="316" spans="1:26" x14ac:dyDescent="0.25">
      <c r="A316" s="33"/>
      <c r="B316" s="12"/>
      <c r="C316" s="33"/>
      <c r="D316" s="41"/>
      <c r="H316" s="21"/>
      <c r="I316" s="33"/>
      <c r="J316" s="42"/>
      <c r="K316" s="43"/>
      <c r="L316" s="44"/>
      <c r="M31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16" s="38">
        <f>tblDonnées[[#This Row],[MONTANT OPERATION]]+tblDonnées[[#This Row],[POS  FUSIONNEE CPTE AVANT OP]]</f>
        <v>0</v>
      </c>
      <c r="O316" s="17" t="str">
        <f>IF(ISBLANK(tblDonnées[[#This Row],[MONTANT AUTO]]), "N/A", ABS(tblDonnées[[#This Row],[POS  FUSIONNEE CPTE APRES OP]])-ABS(tblDonnées[[#This Row],[MONTANT AUTO]]))</f>
        <v>N/A</v>
      </c>
      <c r="P316" s="39" t="e">
        <f>tblDonnées[[#This Row],[DEPASSEMENT TOTAL SUR AUTO
]]/-tblDonnées[[#This Row],[MONTANT AUTO]]</f>
        <v>#VALUE!</v>
      </c>
      <c r="Q316" s="33"/>
      <c r="R316" s="33"/>
      <c r="S316" s="33"/>
      <c r="T316" s="40">
        <f>IF(tblDonnées[[#This Row],[0,5% du dép]]&lt;5000,5000,IF(tblDonnées[[#This Row],[0,5% du dép]]&gt;50000,50000,tblDonnées[[#This Row],[0,5% du dép]]))</f>
        <v>5000</v>
      </c>
      <c r="U316" s="10">
        <f>ABS(tblDonnées[[#This Row],[MONTANT DEPASSEMENT]]*0.005)</f>
        <v>0</v>
      </c>
      <c r="V316" s="33"/>
      <c r="W316" s="33"/>
      <c r="X316" s="33"/>
      <c r="Y316" s="33"/>
      <c r="Z316" s="33"/>
    </row>
    <row r="317" spans="1:26" x14ac:dyDescent="0.25">
      <c r="A317" s="33"/>
      <c r="B317" s="12"/>
      <c r="C317" s="33"/>
      <c r="D317" s="41"/>
      <c r="H317" s="21"/>
      <c r="I317" s="33"/>
      <c r="J317" s="42"/>
      <c r="K317" s="43"/>
      <c r="L317" s="44"/>
      <c r="M31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17" s="38">
        <f>tblDonnées[[#This Row],[MONTANT OPERATION]]+tblDonnées[[#This Row],[POS  FUSIONNEE CPTE AVANT OP]]</f>
        <v>0</v>
      </c>
      <c r="O317" s="17" t="str">
        <f>IF(ISBLANK(tblDonnées[[#This Row],[MONTANT AUTO]]), "N/A", ABS(tblDonnées[[#This Row],[POS  FUSIONNEE CPTE APRES OP]])-ABS(tblDonnées[[#This Row],[MONTANT AUTO]]))</f>
        <v>N/A</v>
      </c>
      <c r="P317" s="39" t="e">
        <f>tblDonnées[[#This Row],[DEPASSEMENT TOTAL SUR AUTO
]]/-tblDonnées[[#This Row],[MONTANT AUTO]]</f>
        <v>#VALUE!</v>
      </c>
      <c r="Q317" s="33"/>
      <c r="R317" s="33"/>
      <c r="S317" s="33"/>
      <c r="T317" s="40">
        <f>IF(tblDonnées[[#This Row],[0,5% du dép]]&lt;5000,5000,IF(tblDonnées[[#This Row],[0,5% du dép]]&gt;50000,50000,tblDonnées[[#This Row],[0,5% du dép]]))</f>
        <v>5000</v>
      </c>
      <c r="U317" s="10">
        <f>ABS(tblDonnées[[#This Row],[MONTANT DEPASSEMENT]]*0.005)</f>
        <v>0</v>
      </c>
      <c r="V317" s="33"/>
      <c r="W317" s="33"/>
      <c r="X317" s="33"/>
      <c r="Y317" s="33"/>
      <c r="Z317" s="33"/>
    </row>
    <row r="318" spans="1:26" x14ac:dyDescent="0.25">
      <c r="A318" s="33"/>
      <c r="B318" s="12"/>
      <c r="C318" s="33"/>
      <c r="D318" s="41"/>
      <c r="H318" s="21"/>
      <c r="I318" s="33"/>
      <c r="J318" s="42"/>
      <c r="K318" s="43"/>
      <c r="L318" s="44"/>
      <c r="M31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18" s="38">
        <f>tblDonnées[[#This Row],[MONTANT OPERATION]]+tblDonnées[[#This Row],[POS  FUSIONNEE CPTE AVANT OP]]</f>
        <v>0</v>
      </c>
      <c r="O318" s="17" t="str">
        <f>IF(ISBLANK(tblDonnées[[#This Row],[MONTANT AUTO]]), "N/A", ABS(tblDonnées[[#This Row],[POS  FUSIONNEE CPTE APRES OP]])-ABS(tblDonnées[[#This Row],[MONTANT AUTO]]))</f>
        <v>N/A</v>
      </c>
      <c r="P318" s="39" t="e">
        <f>tblDonnées[[#This Row],[DEPASSEMENT TOTAL SUR AUTO
]]/-tblDonnées[[#This Row],[MONTANT AUTO]]</f>
        <v>#VALUE!</v>
      </c>
      <c r="Q318" s="33"/>
      <c r="R318" s="33"/>
      <c r="S318" s="33"/>
      <c r="T318" s="40">
        <f>IF(tblDonnées[[#This Row],[0,5% du dép]]&lt;5000,5000,IF(tblDonnées[[#This Row],[0,5% du dép]]&gt;50000,50000,tblDonnées[[#This Row],[0,5% du dép]]))</f>
        <v>5000</v>
      </c>
      <c r="U318" s="10">
        <f>ABS(tblDonnées[[#This Row],[MONTANT DEPASSEMENT]]*0.005)</f>
        <v>0</v>
      </c>
      <c r="V318" s="33"/>
      <c r="W318" s="33"/>
      <c r="X318" s="33"/>
      <c r="Y318" s="33"/>
      <c r="Z318" s="33"/>
    </row>
    <row r="319" spans="1:26" x14ac:dyDescent="0.25">
      <c r="A319" s="33"/>
      <c r="B319" s="12"/>
      <c r="C319" s="33"/>
      <c r="D319" s="41"/>
      <c r="H319" s="21"/>
      <c r="I319" s="33"/>
      <c r="J319" s="42"/>
      <c r="K319" s="43"/>
      <c r="L319" s="44"/>
      <c r="M31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19" s="38">
        <f>tblDonnées[[#This Row],[MONTANT OPERATION]]+tblDonnées[[#This Row],[POS  FUSIONNEE CPTE AVANT OP]]</f>
        <v>0</v>
      </c>
      <c r="O319" s="17" t="str">
        <f>IF(ISBLANK(tblDonnées[[#This Row],[MONTANT AUTO]]), "N/A", ABS(tblDonnées[[#This Row],[POS  FUSIONNEE CPTE APRES OP]])-ABS(tblDonnées[[#This Row],[MONTANT AUTO]]))</f>
        <v>N/A</v>
      </c>
      <c r="P319" s="39" t="e">
        <f>tblDonnées[[#This Row],[DEPASSEMENT TOTAL SUR AUTO
]]/-tblDonnées[[#This Row],[MONTANT AUTO]]</f>
        <v>#VALUE!</v>
      </c>
      <c r="Q319" s="33"/>
      <c r="R319" s="33"/>
      <c r="S319" s="33"/>
      <c r="T319" s="40">
        <f>IF(tblDonnées[[#This Row],[0,5% du dép]]&lt;5000,5000,IF(tblDonnées[[#This Row],[0,5% du dép]]&gt;50000,50000,tblDonnées[[#This Row],[0,5% du dép]]))</f>
        <v>5000</v>
      </c>
      <c r="U319" s="10">
        <f>ABS(tblDonnées[[#This Row],[MONTANT DEPASSEMENT]]*0.005)</f>
        <v>0</v>
      </c>
      <c r="V319" s="33"/>
      <c r="W319" s="33"/>
      <c r="X319" s="33"/>
      <c r="Y319" s="33"/>
      <c r="Z319" s="33"/>
    </row>
    <row r="320" spans="1:26" x14ac:dyDescent="0.25">
      <c r="A320" s="33"/>
      <c r="B320" s="12"/>
      <c r="C320" s="33"/>
      <c r="D320" s="41"/>
      <c r="H320" s="21"/>
      <c r="I320" s="33"/>
      <c r="J320" s="42"/>
      <c r="K320" s="43"/>
      <c r="L320" s="44"/>
      <c r="M32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20" s="38">
        <f>tblDonnées[[#This Row],[MONTANT OPERATION]]+tblDonnées[[#This Row],[POS  FUSIONNEE CPTE AVANT OP]]</f>
        <v>0</v>
      </c>
      <c r="O320" s="17" t="str">
        <f>IF(ISBLANK(tblDonnées[[#This Row],[MONTANT AUTO]]), "N/A", ABS(tblDonnées[[#This Row],[POS  FUSIONNEE CPTE APRES OP]])-ABS(tblDonnées[[#This Row],[MONTANT AUTO]]))</f>
        <v>N/A</v>
      </c>
      <c r="P320" s="39" t="e">
        <f>tblDonnées[[#This Row],[DEPASSEMENT TOTAL SUR AUTO
]]/-tblDonnées[[#This Row],[MONTANT AUTO]]</f>
        <v>#VALUE!</v>
      </c>
      <c r="Q320" s="33"/>
      <c r="R320" s="33"/>
      <c r="S320" s="33"/>
      <c r="T320" s="40">
        <f>IF(tblDonnées[[#This Row],[0,5% du dép]]&lt;5000,5000,IF(tblDonnées[[#This Row],[0,5% du dép]]&gt;50000,50000,tblDonnées[[#This Row],[0,5% du dép]]))</f>
        <v>5000</v>
      </c>
      <c r="U320" s="10">
        <f>ABS(tblDonnées[[#This Row],[MONTANT DEPASSEMENT]]*0.005)</f>
        <v>0</v>
      </c>
      <c r="V320" s="33"/>
      <c r="W320" s="33"/>
      <c r="X320" s="33"/>
      <c r="Y320" s="33"/>
      <c r="Z320" s="33"/>
    </row>
    <row r="321" spans="1:26" x14ac:dyDescent="0.25">
      <c r="A321" s="33"/>
      <c r="B321" s="12"/>
      <c r="C321" s="33"/>
      <c r="D321" s="41"/>
      <c r="H321" s="21"/>
      <c r="I321" s="33"/>
      <c r="J321" s="42"/>
      <c r="K321" s="43"/>
      <c r="L321" s="44"/>
      <c r="M32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21" s="38">
        <f>tblDonnées[[#This Row],[MONTANT OPERATION]]+tblDonnées[[#This Row],[POS  FUSIONNEE CPTE AVANT OP]]</f>
        <v>0</v>
      </c>
      <c r="O321" s="17" t="str">
        <f>IF(ISBLANK(tblDonnées[[#This Row],[MONTANT AUTO]]), "N/A", ABS(tblDonnées[[#This Row],[POS  FUSIONNEE CPTE APRES OP]])-ABS(tblDonnées[[#This Row],[MONTANT AUTO]]))</f>
        <v>N/A</v>
      </c>
      <c r="P321" s="39" t="e">
        <f>tblDonnées[[#This Row],[DEPASSEMENT TOTAL SUR AUTO
]]/-tblDonnées[[#This Row],[MONTANT AUTO]]</f>
        <v>#VALUE!</v>
      </c>
      <c r="Q321" s="33"/>
      <c r="R321" s="33"/>
      <c r="S321" s="33"/>
      <c r="T321" s="40">
        <f>IF(tblDonnées[[#This Row],[0,5% du dép]]&lt;5000,5000,IF(tblDonnées[[#This Row],[0,5% du dép]]&gt;50000,50000,tblDonnées[[#This Row],[0,5% du dép]]))</f>
        <v>5000</v>
      </c>
      <c r="U321" s="10">
        <f>ABS(tblDonnées[[#This Row],[MONTANT DEPASSEMENT]]*0.005)</f>
        <v>0</v>
      </c>
      <c r="V321" s="33"/>
      <c r="W321" s="33"/>
      <c r="X321" s="33"/>
      <c r="Y321" s="33"/>
      <c r="Z321" s="33"/>
    </row>
    <row r="322" spans="1:26" x14ac:dyDescent="0.25">
      <c r="A322" s="33"/>
      <c r="B322" s="12"/>
      <c r="C322" s="33"/>
      <c r="D322" s="41"/>
      <c r="H322" s="21"/>
      <c r="I322" s="33"/>
      <c r="J322" s="42"/>
      <c r="K322" s="43"/>
      <c r="L322" s="44"/>
      <c r="M32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22" s="38">
        <f>tblDonnées[[#This Row],[MONTANT OPERATION]]+tblDonnées[[#This Row],[POS  FUSIONNEE CPTE AVANT OP]]</f>
        <v>0</v>
      </c>
      <c r="O322" s="17" t="str">
        <f>IF(ISBLANK(tblDonnées[[#This Row],[MONTANT AUTO]]), "N/A", ABS(tblDonnées[[#This Row],[POS  FUSIONNEE CPTE APRES OP]])-ABS(tblDonnées[[#This Row],[MONTANT AUTO]]))</f>
        <v>N/A</v>
      </c>
      <c r="P322" s="39" t="e">
        <f>tblDonnées[[#This Row],[DEPASSEMENT TOTAL SUR AUTO
]]/-tblDonnées[[#This Row],[MONTANT AUTO]]</f>
        <v>#VALUE!</v>
      </c>
      <c r="Q322" s="33"/>
      <c r="R322" s="33"/>
      <c r="S322" s="33"/>
      <c r="T322" s="40">
        <f>IF(tblDonnées[[#This Row],[0,5% du dép]]&lt;5000,5000,IF(tblDonnées[[#This Row],[0,5% du dép]]&gt;50000,50000,tblDonnées[[#This Row],[0,5% du dép]]))</f>
        <v>5000</v>
      </c>
      <c r="U322" s="10">
        <f>ABS(tblDonnées[[#This Row],[MONTANT DEPASSEMENT]]*0.005)</f>
        <v>0</v>
      </c>
      <c r="V322" s="33"/>
      <c r="W322" s="33"/>
      <c r="X322" s="33"/>
      <c r="Y322" s="33"/>
      <c r="Z322" s="33"/>
    </row>
    <row r="323" spans="1:26" x14ac:dyDescent="0.25">
      <c r="A323" s="33"/>
      <c r="B323" s="12"/>
      <c r="C323" s="33"/>
      <c r="D323" s="41"/>
      <c r="H323" s="21"/>
      <c r="I323" s="33"/>
      <c r="J323" s="42"/>
      <c r="K323" s="43"/>
      <c r="L323" s="44"/>
      <c r="M32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23" s="38">
        <f>tblDonnées[[#This Row],[MONTANT OPERATION]]+tblDonnées[[#This Row],[POS  FUSIONNEE CPTE AVANT OP]]</f>
        <v>0</v>
      </c>
      <c r="O323" s="17" t="str">
        <f>IF(ISBLANK(tblDonnées[[#This Row],[MONTANT AUTO]]), "N/A", ABS(tblDonnées[[#This Row],[POS  FUSIONNEE CPTE APRES OP]])-ABS(tblDonnées[[#This Row],[MONTANT AUTO]]))</f>
        <v>N/A</v>
      </c>
      <c r="P323" s="39" t="e">
        <f>tblDonnées[[#This Row],[DEPASSEMENT TOTAL SUR AUTO
]]/-tblDonnées[[#This Row],[MONTANT AUTO]]</f>
        <v>#VALUE!</v>
      </c>
      <c r="Q323" s="33"/>
      <c r="R323" s="33"/>
      <c r="S323" s="33"/>
      <c r="T323" s="40">
        <f>IF(tblDonnées[[#This Row],[0,5% du dép]]&lt;5000,5000,IF(tblDonnées[[#This Row],[0,5% du dép]]&gt;50000,50000,tblDonnées[[#This Row],[0,5% du dép]]))</f>
        <v>5000</v>
      </c>
      <c r="U323" s="10">
        <f>ABS(tblDonnées[[#This Row],[MONTANT DEPASSEMENT]]*0.005)</f>
        <v>0</v>
      </c>
      <c r="V323" s="33"/>
      <c r="W323" s="33"/>
      <c r="X323" s="33"/>
      <c r="Y323" s="33"/>
      <c r="Z323" s="33"/>
    </row>
    <row r="324" spans="1:26" x14ac:dyDescent="0.25">
      <c r="A324" s="33"/>
      <c r="B324" s="12"/>
      <c r="C324" s="33"/>
      <c r="D324" s="41"/>
      <c r="H324" s="21"/>
      <c r="I324" s="33"/>
      <c r="J324" s="42"/>
      <c r="K324" s="43"/>
      <c r="L324" s="44"/>
      <c r="M32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24" s="38">
        <f>tblDonnées[[#This Row],[MONTANT OPERATION]]+tblDonnées[[#This Row],[POS  FUSIONNEE CPTE AVANT OP]]</f>
        <v>0</v>
      </c>
      <c r="O324" s="17" t="str">
        <f>IF(ISBLANK(tblDonnées[[#This Row],[MONTANT AUTO]]), "N/A", ABS(tblDonnées[[#This Row],[POS  FUSIONNEE CPTE APRES OP]])-ABS(tblDonnées[[#This Row],[MONTANT AUTO]]))</f>
        <v>N/A</v>
      </c>
      <c r="P324" s="39" t="e">
        <f>tblDonnées[[#This Row],[DEPASSEMENT TOTAL SUR AUTO
]]/-tblDonnées[[#This Row],[MONTANT AUTO]]</f>
        <v>#VALUE!</v>
      </c>
      <c r="Q324" s="33"/>
      <c r="R324" s="33"/>
      <c r="S324" s="33"/>
      <c r="T324" s="40">
        <f>IF(tblDonnées[[#This Row],[0,5% du dép]]&lt;5000,5000,IF(tblDonnées[[#This Row],[0,5% du dép]]&gt;50000,50000,tblDonnées[[#This Row],[0,5% du dép]]))</f>
        <v>5000</v>
      </c>
      <c r="U324" s="10">
        <f>ABS(tblDonnées[[#This Row],[MONTANT DEPASSEMENT]]*0.005)</f>
        <v>0</v>
      </c>
      <c r="V324" s="33"/>
      <c r="W324" s="33"/>
      <c r="X324" s="33"/>
      <c r="Y324" s="33"/>
      <c r="Z324" s="33"/>
    </row>
    <row r="325" spans="1:26" x14ac:dyDescent="0.25">
      <c r="A325" s="33"/>
      <c r="B325" s="12"/>
      <c r="C325" s="33"/>
      <c r="D325" s="41"/>
      <c r="H325" s="21"/>
      <c r="I325" s="33"/>
      <c r="J325" s="42"/>
      <c r="K325" s="43"/>
      <c r="L325" s="44"/>
      <c r="M32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25" s="38">
        <f>tblDonnées[[#This Row],[MONTANT OPERATION]]+tblDonnées[[#This Row],[POS  FUSIONNEE CPTE AVANT OP]]</f>
        <v>0</v>
      </c>
      <c r="O325" s="17" t="str">
        <f>IF(ISBLANK(tblDonnées[[#This Row],[MONTANT AUTO]]), "N/A", ABS(tblDonnées[[#This Row],[POS  FUSIONNEE CPTE APRES OP]])-ABS(tblDonnées[[#This Row],[MONTANT AUTO]]))</f>
        <v>N/A</v>
      </c>
      <c r="P325" s="39" t="e">
        <f>tblDonnées[[#This Row],[DEPASSEMENT TOTAL SUR AUTO
]]/-tblDonnées[[#This Row],[MONTANT AUTO]]</f>
        <v>#VALUE!</v>
      </c>
      <c r="Q325" s="33"/>
      <c r="R325" s="33"/>
      <c r="S325" s="33"/>
      <c r="T325" s="40">
        <f>IF(tblDonnées[[#This Row],[0,5% du dép]]&lt;5000,5000,IF(tblDonnées[[#This Row],[0,5% du dép]]&gt;50000,50000,tblDonnées[[#This Row],[0,5% du dép]]))</f>
        <v>5000</v>
      </c>
      <c r="U325" s="10">
        <f>ABS(tblDonnées[[#This Row],[MONTANT DEPASSEMENT]]*0.005)</f>
        <v>0</v>
      </c>
      <c r="V325" s="33"/>
      <c r="W325" s="33"/>
      <c r="X325" s="33"/>
      <c r="Y325" s="33"/>
      <c r="Z325" s="33"/>
    </row>
    <row r="326" spans="1:26" x14ac:dyDescent="0.25">
      <c r="A326" s="33"/>
      <c r="B326" s="12"/>
      <c r="C326" s="33"/>
      <c r="D326" s="41"/>
      <c r="H326" s="21"/>
      <c r="I326" s="33"/>
      <c r="J326" s="42"/>
      <c r="K326" s="43"/>
      <c r="L326" s="44"/>
      <c r="M32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26" s="38">
        <f>tblDonnées[[#This Row],[MONTANT OPERATION]]+tblDonnées[[#This Row],[POS  FUSIONNEE CPTE AVANT OP]]</f>
        <v>0</v>
      </c>
      <c r="O326" s="17" t="str">
        <f>IF(ISBLANK(tblDonnées[[#This Row],[MONTANT AUTO]]), "N/A", ABS(tblDonnées[[#This Row],[POS  FUSIONNEE CPTE APRES OP]])-ABS(tblDonnées[[#This Row],[MONTANT AUTO]]))</f>
        <v>N/A</v>
      </c>
      <c r="P326" s="39" t="e">
        <f>tblDonnées[[#This Row],[DEPASSEMENT TOTAL SUR AUTO
]]/-tblDonnées[[#This Row],[MONTANT AUTO]]</f>
        <v>#VALUE!</v>
      </c>
      <c r="Q326" s="33"/>
      <c r="R326" s="33"/>
      <c r="S326" s="33"/>
      <c r="T326" s="40">
        <f>IF(tblDonnées[[#This Row],[0,5% du dép]]&lt;5000,5000,IF(tblDonnées[[#This Row],[0,5% du dép]]&gt;50000,50000,tblDonnées[[#This Row],[0,5% du dép]]))</f>
        <v>5000</v>
      </c>
      <c r="U326" s="10">
        <f>ABS(tblDonnées[[#This Row],[MONTANT DEPASSEMENT]]*0.005)</f>
        <v>0</v>
      </c>
      <c r="V326" s="33"/>
      <c r="W326" s="33"/>
      <c r="X326" s="33"/>
      <c r="Y326" s="33"/>
      <c r="Z326" s="33"/>
    </row>
    <row r="327" spans="1:26" x14ac:dyDescent="0.25">
      <c r="A327" s="33"/>
      <c r="B327" s="12"/>
      <c r="C327" s="33"/>
      <c r="D327" s="41"/>
      <c r="H327" s="21"/>
      <c r="I327" s="33"/>
      <c r="J327" s="42"/>
      <c r="K327" s="43"/>
      <c r="L327" s="44"/>
      <c r="M32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27" s="38">
        <f>tblDonnées[[#This Row],[MONTANT OPERATION]]+tblDonnées[[#This Row],[POS  FUSIONNEE CPTE AVANT OP]]</f>
        <v>0</v>
      </c>
      <c r="O327" s="17" t="str">
        <f>IF(ISBLANK(tblDonnées[[#This Row],[MONTANT AUTO]]), "N/A", ABS(tblDonnées[[#This Row],[POS  FUSIONNEE CPTE APRES OP]])-ABS(tblDonnées[[#This Row],[MONTANT AUTO]]))</f>
        <v>N/A</v>
      </c>
      <c r="P327" s="39" t="e">
        <f>tblDonnées[[#This Row],[DEPASSEMENT TOTAL SUR AUTO
]]/-tblDonnées[[#This Row],[MONTANT AUTO]]</f>
        <v>#VALUE!</v>
      </c>
      <c r="Q327" s="33"/>
      <c r="R327" s="33"/>
      <c r="S327" s="33"/>
      <c r="T327" s="40">
        <f>IF(tblDonnées[[#This Row],[0,5% du dép]]&lt;5000,5000,IF(tblDonnées[[#This Row],[0,5% du dép]]&gt;50000,50000,tblDonnées[[#This Row],[0,5% du dép]]))</f>
        <v>5000</v>
      </c>
      <c r="U327" s="10">
        <f>ABS(tblDonnées[[#This Row],[MONTANT DEPASSEMENT]]*0.005)</f>
        <v>0</v>
      </c>
      <c r="V327" s="33"/>
      <c r="W327" s="33"/>
      <c r="X327" s="33"/>
      <c r="Y327" s="33"/>
      <c r="Z327" s="33"/>
    </row>
    <row r="328" spans="1:26" x14ac:dyDescent="0.25">
      <c r="A328" s="33"/>
      <c r="B328" s="12"/>
      <c r="C328" s="33"/>
      <c r="D328" s="41"/>
      <c r="H328" s="21"/>
      <c r="I328" s="33"/>
      <c r="J328" s="42"/>
      <c r="K328" s="43"/>
      <c r="L328" s="44"/>
      <c r="M32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28" s="38">
        <f>tblDonnées[[#This Row],[MONTANT OPERATION]]+tblDonnées[[#This Row],[POS  FUSIONNEE CPTE AVANT OP]]</f>
        <v>0</v>
      </c>
      <c r="O328" s="17" t="str">
        <f>IF(ISBLANK(tblDonnées[[#This Row],[MONTANT AUTO]]), "N/A", ABS(tblDonnées[[#This Row],[POS  FUSIONNEE CPTE APRES OP]])-ABS(tblDonnées[[#This Row],[MONTANT AUTO]]))</f>
        <v>N/A</v>
      </c>
      <c r="P328" s="39" t="e">
        <f>tblDonnées[[#This Row],[DEPASSEMENT TOTAL SUR AUTO
]]/-tblDonnées[[#This Row],[MONTANT AUTO]]</f>
        <v>#VALUE!</v>
      </c>
      <c r="Q328" s="33"/>
      <c r="R328" s="33"/>
      <c r="S328" s="33"/>
      <c r="T328" s="40">
        <f>IF(tblDonnées[[#This Row],[0,5% du dép]]&lt;5000,5000,IF(tblDonnées[[#This Row],[0,5% du dép]]&gt;50000,50000,tblDonnées[[#This Row],[0,5% du dép]]))</f>
        <v>5000</v>
      </c>
      <c r="U328" s="10">
        <f>ABS(tblDonnées[[#This Row],[MONTANT DEPASSEMENT]]*0.005)</f>
        <v>0</v>
      </c>
      <c r="V328" s="33"/>
      <c r="W328" s="33"/>
      <c r="X328" s="33"/>
      <c r="Y328" s="33"/>
      <c r="Z328" s="33"/>
    </row>
    <row r="329" spans="1:26" x14ac:dyDescent="0.25">
      <c r="A329" s="33"/>
      <c r="B329" s="12"/>
      <c r="C329" s="33"/>
      <c r="D329" s="41"/>
      <c r="H329" s="21"/>
      <c r="I329" s="33"/>
      <c r="J329" s="42"/>
      <c r="K329" s="43"/>
      <c r="L329" s="44"/>
      <c r="M32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29" s="38">
        <f>tblDonnées[[#This Row],[MONTANT OPERATION]]+tblDonnées[[#This Row],[POS  FUSIONNEE CPTE AVANT OP]]</f>
        <v>0</v>
      </c>
      <c r="O329" s="17" t="str">
        <f>IF(ISBLANK(tblDonnées[[#This Row],[MONTANT AUTO]]), "N/A", ABS(tblDonnées[[#This Row],[POS  FUSIONNEE CPTE APRES OP]])-ABS(tblDonnées[[#This Row],[MONTANT AUTO]]))</f>
        <v>N/A</v>
      </c>
      <c r="P329" s="39" t="e">
        <f>tblDonnées[[#This Row],[DEPASSEMENT TOTAL SUR AUTO
]]/-tblDonnées[[#This Row],[MONTANT AUTO]]</f>
        <v>#VALUE!</v>
      </c>
      <c r="Q329" s="33"/>
      <c r="R329" s="33"/>
      <c r="S329" s="33"/>
      <c r="T329" s="40">
        <f>IF(tblDonnées[[#This Row],[0,5% du dép]]&lt;5000,5000,IF(tblDonnées[[#This Row],[0,5% du dép]]&gt;50000,50000,tblDonnées[[#This Row],[0,5% du dép]]))</f>
        <v>5000</v>
      </c>
      <c r="U329" s="10">
        <f>ABS(tblDonnées[[#This Row],[MONTANT DEPASSEMENT]]*0.005)</f>
        <v>0</v>
      </c>
      <c r="V329" s="33"/>
      <c r="W329" s="33"/>
      <c r="X329" s="33"/>
      <c r="Y329" s="33"/>
      <c r="Z329" s="33"/>
    </row>
    <row r="330" spans="1:26" x14ac:dyDescent="0.25">
      <c r="A330" s="33"/>
      <c r="B330" s="12"/>
      <c r="C330" s="33"/>
      <c r="D330" s="41"/>
      <c r="H330" s="21"/>
      <c r="I330" s="33"/>
      <c r="J330" s="42"/>
      <c r="K330" s="43"/>
      <c r="L330" s="44"/>
      <c r="M33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30" s="38">
        <f>tblDonnées[[#This Row],[MONTANT OPERATION]]+tblDonnées[[#This Row],[POS  FUSIONNEE CPTE AVANT OP]]</f>
        <v>0</v>
      </c>
      <c r="O330" s="17" t="str">
        <f>IF(ISBLANK(tblDonnées[[#This Row],[MONTANT AUTO]]), "N/A", ABS(tblDonnées[[#This Row],[POS  FUSIONNEE CPTE APRES OP]])-ABS(tblDonnées[[#This Row],[MONTANT AUTO]]))</f>
        <v>N/A</v>
      </c>
      <c r="P330" s="39" t="e">
        <f>tblDonnées[[#This Row],[DEPASSEMENT TOTAL SUR AUTO
]]/-tblDonnées[[#This Row],[MONTANT AUTO]]</f>
        <v>#VALUE!</v>
      </c>
      <c r="Q330" s="33"/>
      <c r="R330" s="33"/>
      <c r="S330" s="33"/>
      <c r="T330" s="40">
        <f>IF(tblDonnées[[#This Row],[0,5% du dép]]&lt;5000,5000,IF(tblDonnées[[#This Row],[0,5% du dép]]&gt;50000,50000,tblDonnées[[#This Row],[0,5% du dép]]))</f>
        <v>5000</v>
      </c>
      <c r="U330" s="10">
        <f>ABS(tblDonnées[[#This Row],[MONTANT DEPASSEMENT]]*0.005)</f>
        <v>0</v>
      </c>
      <c r="V330" s="33"/>
      <c r="W330" s="33"/>
      <c r="X330" s="33"/>
      <c r="Y330" s="33"/>
      <c r="Z330" s="33"/>
    </row>
    <row r="331" spans="1:26" x14ac:dyDescent="0.25">
      <c r="A331" s="33"/>
      <c r="B331" s="12"/>
      <c r="C331" s="33"/>
      <c r="D331" s="41"/>
      <c r="H331" s="21"/>
      <c r="I331" s="33"/>
      <c r="J331" s="42"/>
      <c r="K331" s="43"/>
      <c r="L331" s="44"/>
      <c r="M33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31" s="38">
        <f>tblDonnées[[#This Row],[MONTANT OPERATION]]+tblDonnées[[#This Row],[POS  FUSIONNEE CPTE AVANT OP]]</f>
        <v>0</v>
      </c>
      <c r="O331" s="17" t="str">
        <f>IF(ISBLANK(tblDonnées[[#This Row],[MONTANT AUTO]]), "N/A", ABS(tblDonnées[[#This Row],[POS  FUSIONNEE CPTE APRES OP]])-ABS(tblDonnées[[#This Row],[MONTANT AUTO]]))</f>
        <v>N/A</v>
      </c>
      <c r="P331" s="39" t="e">
        <f>tblDonnées[[#This Row],[DEPASSEMENT TOTAL SUR AUTO
]]/-tblDonnées[[#This Row],[MONTANT AUTO]]</f>
        <v>#VALUE!</v>
      </c>
      <c r="Q331" s="33"/>
      <c r="R331" s="33"/>
      <c r="S331" s="33"/>
      <c r="T331" s="40">
        <f>IF(tblDonnées[[#This Row],[0,5% du dép]]&lt;5000,5000,IF(tblDonnées[[#This Row],[0,5% du dép]]&gt;50000,50000,tblDonnées[[#This Row],[0,5% du dép]]))</f>
        <v>5000</v>
      </c>
      <c r="U331" s="10">
        <f>ABS(tblDonnées[[#This Row],[MONTANT DEPASSEMENT]]*0.005)</f>
        <v>0</v>
      </c>
      <c r="V331" s="33"/>
      <c r="W331" s="33"/>
      <c r="X331" s="33"/>
      <c r="Y331" s="33"/>
      <c r="Z331" s="33"/>
    </row>
    <row r="332" spans="1:26" x14ac:dyDescent="0.25">
      <c r="A332" s="33"/>
      <c r="B332" s="12"/>
      <c r="C332" s="33"/>
      <c r="D332" s="41"/>
      <c r="H332" s="21"/>
      <c r="I332" s="33"/>
      <c r="J332" s="42"/>
      <c r="K332" s="43"/>
      <c r="L332" s="44"/>
      <c r="M33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32" s="38">
        <f>tblDonnées[[#This Row],[MONTANT OPERATION]]+tblDonnées[[#This Row],[POS  FUSIONNEE CPTE AVANT OP]]</f>
        <v>0</v>
      </c>
      <c r="O332" s="17" t="str">
        <f>IF(ISBLANK(tblDonnées[[#This Row],[MONTANT AUTO]]), "N/A", ABS(tblDonnées[[#This Row],[POS  FUSIONNEE CPTE APRES OP]])-ABS(tblDonnées[[#This Row],[MONTANT AUTO]]))</f>
        <v>N/A</v>
      </c>
      <c r="P332" s="39" t="e">
        <f>tblDonnées[[#This Row],[DEPASSEMENT TOTAL SUR AUTO
]]/-tblDonnées[[#This Row],[MONTANT AUTO]]</f>
        <v>#VALUE!</v>
      </c>
      <c r="Q332" s="33"/>
      <c r="R332" s="33"/>
      <c r="S332" s="33"/>
      <c r="T332" s="40">
        <f>IF(tblDonnées[[#This Row],[0,5% du dép]]&lt;5000,5000,IF(tblDonnées[[#This Row],[0,5% du dép]]&gt;50000,50000,tblDonnées[[#This Row],[0,5% du dép]]))</f>
        <v>5000</v>
      </c>
      <c r="U332" s="10">
        <f>ABS(tblDonnées[[#This Row],[MONTANT DEPASSEMENT]]*0.005)</f>
        <v>0</v>
      </c>
      <c r="V332" s="33"/>
      <c r="W332" s="33"/>
      <c r="X332" s="33"/>
      <c r="Y332" s="33"/>
      <c r="Z332" s="33"/>
    </row>
    <row r="333" spans="1:26" x14ac:dyDescent="0.25">
      <c r="A333" s="33"/>
      <c r="B333" s="12"/>
      <c r="C333" s="33"/>
      <c r="D333" s="41"/>
      <c r="H333" s="21"/>
      <c r="I333" s="33"/>
      <c r="J333" s="42"/>
      <c r="K333" s="43"/>
      <c r="L333" s="44"/>
      <c r="M33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33" s="38">
        <f>tblDonnées[[#This Row],[MONTANT OPERATION]]+tblDonnées[[#This Row],[POS  FUSIONNEE CPTE AVANT OP]]</f>
        <v>0</v>
      </c>
      <c r="O333" s="17" t="str">
        <f>IF(ISBLANK(tblDonnées[[#This Row],[MONTANT AUTO]]), "N/A", ABS(tblDonnées[[#This Row],[POS  FUSIONNEE CPTE APRES OP]])-ABS(tblDonnées[[#This Row],[MONTANT AUTO]]))</f>
        <v>N/A</v>
      </c>
      <c r="P333" s="39" t="e">
        <f>tblDonnées[[#This Row],[DEPASSEMENT TOTAL SUR AUTO
]]/-tblDonnées[[#This Row],[MONTANT AUTO]]</f>
        <v>#VALUE!</v>
      </c>
      <c r="Q333" s="33"/>
      <c r="R333" s="33"/>
      <c r="S333" s="33"/>
      <c r="T333" s="40">
        <f>IF(tblDonnées[[#This Row],[0,5% du dép]]&lt;5000,5000,IF(tblDonnées[[#This Row],[0,5% du dép]]&gt;50000,50000,tblDonnées[[#This Row],[0,5% du dép]]))</f>
        <v>5000</v>
      </c>
      <c r="U333" s="10">
        <f>ABS(tblDonnées[[#This Row],[MONTANT DEPASSEMENT]]*0.005)</f>
        <v>0</v>
      </c>
      <c r="V333" s="33"/>
      <c r="W333" s="33"/>
      <c r="X333" s="33"/>
      <c r="Y333" s="33"/>
      <c r="Z333" s="33"/>
    </row>
    <row r="334" spans="1:26" x14ac:dyDescent="0.25">
      <c r="A334" s="33"/>
      <c r="B334" s="12"/>
      <c r="C334" s="33"/>
      <c r="D334" s="41"/>
      <c r="H334" s="21"/>
      <c r="I334" s="33"/>
      <c r="J334" s="42"/>
      <c r="K334" s="43"/>
      <c r="L334" s="44"/>
      <c r="M33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34" s="38">
        <f>tblDonnées[[#This Row],[MONTANT OPERATION]]+tblDonnées[[#This Row],[POS  FUSIONNEE CPTE AVANT OP]]</f>
        <v>0</v>
      </c>
      <c r="O334" s="17" t="str">
        <f>IF(ISBLANK(tblDonnées[[#This Row],[MONTANT AUTO]]), "N/A", ABS(tblDonnées[[#This Row],[POS  FUSIONNEE CPTE APRES OP]])-ABS(tblDonnées[[#This Row],[MONTANT AUTO]]))</f>
        <v>N/A</v>
      </c>
      <c r="P334" s="39" t="e">
        <f>tblDonnées[[#This Row],[DEPASSEMENT TOTAL SUR AUTO
]]/-tblDonnées[[#This Row],[MONTANT AUTO]]</f>
        <v>#VALUE!</v>
      </c>
      <c r="Q334" s="33"/>
      <c r="R334" s="33"/>
      <c r="S334" s="33"/>
      <c r="T334" s="40">
        <f>IF(tblDonnées[[#This Row],[0,5% du dép]]&lt;5000,5000,IF(tblDonnées[[#This Row],[0,5% du dép]]&gt;50000,50000,tblDonnées[[#This Row],[0,5% du dép]]))</f>
        <v>5000</v>
      </c>
      <c r="U334" s="10">
        <f>ABS(tblDonnées[[#This Row],[MONTANT DEPASSEMENT]]*0.005)</f>
        <v>0</v>
      </c>
      <c r="V334" s="33"/>
      <c r="W334" s="33"/>
      <c r="X334" s="33"/>
      <c r="Y334" s="33"/>
      <c r="Z334" s="33"/>
    </row>
    <row r="335" spans="1:26" x14ac:dyDescent="0.25">
      <c r="A335" s="33"/>
      <c r="B335" s="12"/>
      <c r="C335" s="33"/>
      <c r="D335" s="41"/>
      <c r="H335" s="21"/>
      <c r="I335" s="33"/>
      <c r="J335" s="42"/>
      <c r="K335" s="43"/>
      <c r="L335" s="44"/>
      <c r="M33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35" s="38">
        <f>tblDonnées[[#This Row],[MONTANT OPERATION]]+tblDonnées[[#This Row],[POS  FUSIONNEE CPTE AVANT OP]]</f>
        <v>0</v>
      </c>
      <c r="O335" s="17" t="str">
        <f>IF(ISBLANK(tblDonnées[[#This Row],[MONTANT AUTO]]), "N/A", ABS(tblDonnées[[#This Row],[POS  FUSIONNEE CPTE APRES OP]])-ABS(tblDonnées[[#This Row],[MONTANT AUTO]]))</f>
        <v>N/A</v>
      </c>
      <c r="P335" s="39" t="e">
        <f>tblDonnées[[#This Row],[DEPASSEMENT TOTAL SUR AUTO
]]/-tblDonnées[[#This Row],[MONTANT AUTO]]</f>
        <v>#VALUE!</v>
      </c>
      <c r="Q335" s="33"/>
      <c r="R335" s="33"/>
      <c r="S335" s="33"/>
      <c r="T335" s="40">
        <f>IF(tblDonnées[[#This Row],[0,5% du dép]]&lt;5000,5000,IF(tblDonnées[[#This Row],[0,5% du dép]]&gt;50000,50000,tblDonnées[[#This Row],[0,5% du dép]]))</f>
        <v>5000</v>
      </c>
      <c r="U335" s="10">
        <f>ABS(tblDonnées[[#This Row],[MONTANT DEPASSEMENT]]*0.005)</f>
        <v>0</v>
      </c>
      <c r="V335" s="33"/>
      <c r="W335" s="33"/>
      <c r="X335" s="33"/>
      <c r="Y335" s="33"/>
      <c r="Z335" s="33"/>
    </row>
    <row r="336" spans="1:26" x14ac:dyDescent="0.25">
      <c r="A336" s="33"/>
      <c r="B336" s="12"/>
      <c r="C336" s="33"/>
      <c r="D336" s="41"/>
      <c r="H336" s="21"/>
      <c r="I336" s="33"/>
      <c r="J336" s="42"/>
      <c r="K336" s="43"/>
      <c r="L336" s="44"/>
      <c r="M33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36" s="38">
        <f>tblDonnées[[#This Row],[MONTANT OPERATION]]+tblDonnées[[#This Row],[POS  FUSIONNEE CPTE AVANT OP]]</f>
        <v>0</v>
      </c>
      <c r="O336" s="17" t="str">
        <f>IF(ISBLANK(tblDonnées[[#This Row],[MONTANT AUTO]]), "N/A", ABS(tblDonnées[[#This Row],[POS  FUSIONNEE CPTE APRES OP]])-ABS(tblDonnées[[#This Row],[MONTANT AUTO]]))</f>
        <v>N/A</v>
      </c>
      <c r="P336" s="39" t="e">
        <f>tblDonnées[[#This Row],[DEPASSEMENT TOTAL SUR AUTO
]]/-tblDonnées[[#This Row],[MONTANT AUTO]]</f>
        <v>#VALUE!</v>
      </c>
      <c r="Q336" s="33"/>
      <c r="R336" s="33"/>
      <c r="S336" s="33"/>
      <c r="T336" s="40">
        <f>IF(tblDonnées[[#This Row],[0,5% du dép]]&lt;5000,5000,IF(tblDonnées[[#This Row],[0,5% du dép]]&gt;50000,50000,tblDonnées[[#This Row],[0,5% du dép]]))</f>
        <v>5000</v>
      </c>
      <c r="U336" s="10">
        <f>ABS(tblDonnées[[#This Row],[MONTANT DEPASSEMENT]]*0.005)</f>
        <v>0</v>
      </c>
      <c r="V336" s="33"/>
      <c r="W336" s="33"/>
      <c r="X336" s="33"/>
      <c r="Y336" s="33"/>
      <c r="Z336" s="33"/>
    </row>
    <row r="337" spans="1:26" x14ac:dyDescent="0.25">
      <c r="A337" s="33"/>
      <c r="B337" s="12"/>
      <c r="C337" s="33"/>
      <c r="D337" s="41"/>
      <c r="H337" s="21"/>
      <c r="I337" s="33"/>
      <c r="J337" s="42"/>
      <c r="K337" s="43"/>
      <c r="L337" s="44"/>
      <c r="M33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37" s="38">
        <f>tblDonnées[[#This Row],[MONTANT OPERATION]]+tblDonnées[[#This Row],[POS  FUSIONNEE CPTE AVANT OP]]</f>
        <v>0</v>
      </c>
      <c r="O337" s="17" t="str">
        <f>IF(ISBLANK(tblDonnées[[#This Row],[MONTANT AUTO]]), "N/A", ABS(tblDonnées[[#This Row],[POS  FUSIONNEE CPTE APRES OP]])-ABS(tblDonnées[[#This Row],[MONTANT AUTO]]))</f>
        <v>N/A</v>
      </c>
      <c r="P337" s="39" t="e">
        <f>tblDonnées[[#This Row],[DEPASSEMENT TOTAL SUR AUTO
]]/-tblDonnées[[#This Row],[MONTANT AUTO]]</f>
        <v>#VALUE!</v>
      </c>
      <c r="Q337" s="33"/>
      <c r="R337" s="33"/>
      <c r="S337" s="33"/>
      <c r="T337" s="40">
        <f>IF(tblDonnées[[#This Row],[0,5% du dép]]&lt;5000,5000,IF(tblDonnées[[#This Row],[0,5% du dép]]&gt;50000,50000,tblDonnées[[#This Row],[0,5% du dép]]))</f>
        <v>5000</v>
      </c>
      <c r="U337" s="10">
        <f>ABS(tblDonnées[[#This Row],[MONTANT DEPASSEMENT]]*0.005)</f>
        <v>0</v>
      </c>
      <c r="V337" s="33"/>
      <c r="W337" s="33"/>
      <c r="X337" s="33"/>
      <c r="Y337" s="33"/>
      <c r="Z337" s="33"/>
    </row>
    <row r="338" spans="1:26" x14ac:dyDescent="0.25">
      <c r="A338" s="33"/>
      <c r="B338" s="12"/>
      <c r="C338" s="33"/>
      <c r="D338" s="41"/>
      <c r="H338" s="21"/>
      <c r="I338" s="33"/>
      <c r="J338" s="42"/>
      <c r="K338" s="43"/>
      <c r="L338" s="44"/>
      <c r="M33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38" s="38">
        <f>tblDonnées[[#This Row],[MONTANT OPERATION]]+tblDonnées[[#This Row],[POS  FUSIONNEE CPTE AVANT OP]]</f>
        <v>0</v>
      </c>
      <c r="O338" s="17" t="str">
        <f>IF(ISBLANK(tblDonnées[[#This Row],[MONTANT AUTO]]), "N/A", ABS(tblDonnées[[#This Row],[POS  FUSIONNEE CPTE APRES OP]])-ABS(tblDonnées[[#This Row],[MONTANT AUTO]]))</f>
        <v>N/A</v>
      </c>
      <c r="P338" s="39" t="e">
        <f>tblDonnées[[#This Row],[DEPASSEMENT TOTAL SUR AUTO
]]/-tblDonnées[[#This Row],[MONTANT AUTO]]</f>
        <v>#VALUE!</v>
      </c>
      <c r="Q338" s="33"/>
      <c r="R338" s="33"/>
      <c r="S338" s="33"/>
      <c r="T338" s="40">
        <f>IF(tblDonnées[[#This Row],[0,5% du dép]]&lt;5000,5000,IF(tblDonnées[[#This Row],[0,5% du dép]]&gt;50000,50000,tblDonnées[[#This Row],[0,5% du dép]]))</f>
        <v>5000</v>
      </c>
      <c r="U338" s="10">
        <f>ABS(tblDonnées[[#This Row],[MONTANT DEPASSEMENT]]*0.005)</f>
        <v>0</v>
      </c>
      <c r="V338" s="33"/>
      <c r="W338" s="33"/>
      <c r="X338" s="33"/>
      <c r="Y338" s="33"/>
      <c r="Z338" s="33"/>
    </row>
    <row r="339" spans="1:26" x14ac:dyDescent="0.25">
      <c r="A339" s="33"/>
      <c r="B339" s="12"/>
      <c r="C339" s="33"/>
      <c r="D339" s="41"/>
      <c r="H339" s="21"/>
      <c r="I339" s="33"/>
      <c r="J339" s="42"/>
      <c r="K339" s="43"/>
      <c r="L339" s="44"/>
      <c r="M33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39" s="38">
        <f>tblDonnées[[#This Row],[MONTANT OPERATION]]+tblDonnées[[#This Row],[POS  FUSIONNEE CPTE AVANT OP]]</f>
        <v>0</v>
      </c>
      <c r="O339" s="17" t="str">
        <f>IF(ISBLANK(tblDonnées[[#This Row],[MONTANT AUTO]]), "N/A", ABS(tblDonnées[[#This Row],[POS  FUSIONNEE CPTE APRES OP]])-ABS(tblDonnées[[#This Row],[MONTANT AUTO]]))</f>
        <v>N/A</v>
      </c>
      <c r="P339" s="39" t="e">
        <f>tblDonnées[[#This Row],[DEPASSEMENT TOTAL SUR AUTO
]]/-tblDonnées[[#This Row],[MONTANT AUTO]]</f>
        <v>#VALUE!</v>
      </c>
      <c r="Q339" s="33"/>
      <c r="R339" s="33"/>
      <c r="S339" s="33"/>
      <c r="T339" s="40">
        <f>IF(tblDonnées[[#This Row],[0,5% du dép]]&lt;5000,5000,IF(tblDonnées[[#This Row],[0,5% du dép]]&gt;50000,50000,tblDonnées[[#This Row],[0,5% du dép]]))</f>
        <v>5000</v>
      </c>
      <c r="U339" s="10">
        <f>ABS(tblDonnées[[#This Row],[MONTANT DEPASSEMENT]]*0.005)</f>
        <v>0</v>
      </c>
      <c r="V339" s="33"/>
      <c r="W339" s="33"/>
      <c r="X339" s="33"/>
      <c r="Y339" s="33"/>
      <c r="Z339" s="33"/>
    </row>
    <row r="340" spans="1:26" x14ac:dyDescent="0.25">
      <c r="A340" s="33"/>
      <c r="B340" s="12"/>
      <c r="C340" s="33"/>
      <c r="D340" s="41"/>
      <c r="H340" s="21"/>
      <c r="I340" s="33"/>
      <c r="J340" s="42"/>
      <c r="K340" s="43"/>
      <c r="L340" s="44"/>
      <c r="M34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40" s="38">
        <f>tblDonnées[[#This Row],[MONTANT OPERATION]]+tblDonnées[[#This Row],[POS  FUSIONNEE CPTE AVANT OP]]</f>
        <v>0</v>
      </c>
      <c r="O340" s="17" t="str">
        <f>IF(ISBLANK(tblDonnées[[#This Row],[MONTANT AUTO]]), "N/A", ABS(tblDonnées[[#This Row],[POS  FUSIONNEE CPTE APRES OP]])-ABS(tblDonnées[[#This Row],[MONTANT AUTO]]))</f>
        <v>N/A</v>
      </c>
      <c r="P340" s="39" t="e">
        <f>tblDonnées[[#This Row],[DEPASSEMENT TOTAL SUR AUTO
]]/-tblDonnées[[#This Row],[MONTANT AUTO]]</f>
        <v>#VALUE!</v>
      </c>
      <c r="Q340" s="33"/>
      <c r="R340" s="33"/>
      <c r="S340" s="33"/>
      <c r="T340" s="40">
        <f>IF(tblDonnées[[#This Row],[0,5% du dép]]&lt;5000,5000,IF(tblDonnées[[#This Row],[0,5% du dép]]&gt;50000,50000,tblDonnées[[#This Row],[0,5% du dép]]))</f>
        <v>5000</v>
      </c>
      <c r="U340" s="10">
        <f>ABS(tblDonnées[[#This Row],[MONTANT DEPASSEMENT]]*0.005)</f>
        <v>0</v>
      </c>
      <c r="V340" s="33"/>
      <c r="W340" s="33"/>
      <c r="X340" s="33"/>
      <c r="Y340" s="33"/>
      <c r="Z340" s="33"/>
    </row>
    <row r="341" spans="1:26" x14ac:dyDescent="0.25">
      <c r="A341" s="33"/>
      <c r="B341" s="12"/>
      <c r="C341" s="33"/>
      <c r="D341" s="41"/>
      <c r="H341" s="21"/>
      <c r="I341" s="33"/>
      <c r="J341" s="42"/>
      <c r="K341" s="43"/>
      <c r="L341" s="44"/>
      <c r="M34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41" s="38">
        <f>tblDonnées[[#This Row],[MONTANT OPERATION]]+tblDonnées[[#This Row],[POS  FUSIONNEE CPTE AVANT OP]]</f>
        <v>0</v>
      </c>
      <c r="O341" s="17" t="str">
        <f>IF(ISBLANK(tblDonnées[[#This Row],[MONTANT AUTO]]), "N/A", ABS(tblDonnées[[#This Row],[POS  FUSIONNEE CPTE APRES OP]])-ABS(tblDonnées[[#This Row],[MONTANT AUTO]]))</f>
        <v>N/A</v>
      </c>
      <c r="P341" s="39" t="e">
        <f>tblDonnées[[#This Row],[DEPASSEMENT TOTAL SUR AUTO
]]/-tblDonnées[[#This Row],[MONTANT AUTO]]</f>
        <v>#VALUE!</v>
      </c>
      <c r="Q341" s="33"/>
      <c r="R341" s="33"/>
      <c r="S341" s="33"/>
      <c r="T341" s="40">
        <f>IF(tblDonnées[[#This Row],[0,5% du dép]]&lt;5000,5000,IF(tblDonnées[[#This Row],[0,5% du dép]]&gt;50000,50000,tblDonnées[[#This Row],[0,5% du dép]]))</f>
        <v>5000</v>
      </c>
      <c r="U341" s="10">
        <f>ABS(tblDonnées[[#This Row],[MONTANT DEPASSEMENT]]*0.005)</f>
        <v>0</v>
      </c>
      <c r="V341" s="33"/>
      <c r="W341" s="33"/>
      <c r="X341" s="33"/>
      <c r="Y341" s="33"/>
      <c r="Z341" s="33"/>
    </row>
    <row r="342" spans="1:26" x14ac:dyDescent="0.25">
      <c r="A342" s="33"/>
      <c r="B342" s="12"/>
      <c r="C342" s="33"/>
      <c r="D342" s="41"/>
      <c r="H342" s="21"/>
      <c r="I342" s="33"/>
      <c r="J342" s="42"/>
      <c r="K342" s="43"/>
      <c r="L342" s="44"/>
      <c r="M34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42" s="38">
        <f>tblDonnées[[#This Row],[MONTANT OPERATION]]+tblDonnées[[#This Row],[POS  FUSIONNEE CPTE AVANT OP]]</f>
        <v>0</v>
      </c>
      <c r="O342" s="17" t="str">
        <f>IF(ISBLANK(tblDonnées[[#This Row],[MONTANT AUTO]]), "N/A", ABS(tblDonnées[[#This Row],[POS  FUSIONNEE CPTE APRES OP]])-ABS(tblDonnées[[#This Row],[MONTANT AUTO]]))</f>
        <v>N/A</v>
      </c>
      <c r="P342" s="39" t="e">
        <f>tblDonnées[[#This Row],[DEPASSEMENT TOTAL SUR AUTO
]]/-tblDonnées[[#This Row],[MONTANT AUTO]]</f>
        <v>#VALUE!</v>
      </c>
      <c r="Q342" s="33"/>
      <c r="R342" s="33"/>
      <c r="S342" s="33"/>
      <c r="T342" s="40">
        <f>IF(tblDonnées[[#This Row],[0,5% du dép]]&lt;5000,5000,IF(tblDonnées[[#This Row],[0,5% du dép]]&gt;50000,50000,tblDonnées[[#This Row],[0,5% du dép]]))</f>
        <v>5000</v>
      </c>
      <c r="U342" s="10">
        <f>ABS(tblDonnées[[#This Row],[MONTANT DEPASSEMENT]]*0.005)</f>
        <v>0</v>
      </c>
      <c r="V342" s="33"/>
      <c r="W342" s="33"/>
      <c r="X342" s="33"/>
      <c r="Y342" s="33"/>
      <c r="Z342" s="33"/>
    </row>
    <row r="343" spans="1:26" x14ac:dyDescent="0.25">
      <c r="A343" s="33"/>
      <c r="B343" s="12"/>
      <c r="C343" s="33"/>
      <c r="D343" s="41"/>
      <c r="H343" s="21"/>
      <c r="I343" s="33"/>
      <c r="J343" s="42"/>
      <c r="K343" s="43"/>
      <c r="L343" s="44"/>
      <c r="M34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43" s="38">
        <f>tblDonnées[[#This Row],[MONTANT OPERATION]]+tblDonnées[[#This Row],[POS  FUSIONNEE CPTE AVANT OP]]</f>
        <v>0</v>
      </c>
      <c r="O343" s="17" t="str">
        <f>IF(ISBLANK(tblDonnées[[#This Row],[MONTANT AUTO]]), "N/A", ABS(tblDonnées[[#This Row],[POS  FUSIONNEE CPTE APRES OP]])-ABS(tblDonnées[[#This Row],[MONTANT AUTO]]))</f>
        <v>N/A</v>
      </c>
      <c r="P343" s="39" t="e">
        <f>tblDonnées[[#This Row],[DEPASSEMENT TOTAL SUR AUTO
]]/-tblDonnées[[#This Row],[MONTANT AUTO]]</f>
        <v>#VALUE!</v>
      </c>
      <c r="Q343" s="33"/>
      <c r="R343" s="33"/>
      <c r="S343" s="33"/>
      <c r="T343" s="40">
        <f>IF(tblDonnées[[#This Row],[0,5% du dép]]&lt;5000,5000,IF(tblDonnées[[#This Row],[0,5% du dép]]&gt;50000,50000,tblDonnées[[#This Row],[0,5% du dép]]))</f>
        <v>5000</v>
      </c>
      <c r="U343" s="10">
        <f>ABS(tblDonnées[[#This Row],[MONTANT DEPASSEMENT]]*0.005)</f>
        <v>0</v>
      </c>
      <c r="V343" s="33"/>
      <c r="W343" s="33"/>
      <c r="X343" s="33"/>
      <c r="Y343" s="33"/>
      <c r="Z343" s="33"/>
    </row>
    <row r="344" spans="1:26" x14ac:dyDescent="0.25">
      <c r="A344" s="33"/>
      <c r="B344" s="12"/>
      <c r="C344" s="33"/>
      <c r="D344" s="41"/>
      <c r="H344" s="21"/>
      <c r="I344" s="33"/>
      <c r="J344" s="42"/>
      <c r="K344" s="43"/>
      <c r="L344" s="44"/>
      <c r="M34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44" s="38">
        <f>tblDonnées[[#This Row],[MONTANT OPERATION]]+tblDonnées[[#This Row],[POS  FUSIONNEE CPTE AVANT OP]]</f>
        <v>0</v>
      </c>
      <c r="O344" s="17" t="str">
        <f>IF(ISBLANK(tblDonnées[[#This Row],[MONTANT AUTO]]), "N/A", ABS(tblDonnées[[#This Row],[POS  FUSIONNEE CPTE APRES OP]])-ABS(tblDonnées[[#This Row],[MONTANT AUTO]]))</f>
        <v>N/A</v>
      </c>
      <c r="P344" s="39" t="e">
        <f>tblDonnées[[#This Row],[DEPASSEMENT TOTAL SUR AUTO
]]/-tblDonnées[[#This Row],[MONTANT AUTO]]</f>
        <v>#VALUE!</v>
      </c>
      <c r="Q344" s="33"/>
      <c r="R344" s="33"/>
      <c r="S344" s="33"/>
      <c r="T344" s="40">
        <f>IF(tblDonnées[[#This Row],[0,5% du dép]]&lt;5000,5000,IF(tblDonnées[[#This Row],[0,5% du dép]]&gt;50000,50000,tblDonnées[[#This Row],[0,5% du dép]]))</f>
        <v>5000</v>
      </c>
      <c r="U344" s="10">
        <f>ABS(tblDonnées[[#This Row],[MONTANT DEPASSEMENT]]*0.005)</f>
        <v>0</v>
      </c>
      <c r="V344" s="33"/>
      <c r="W344" s="33"/>
      <c r="X344" s="33"/>
      <c r="Y344" s="33"/>
      <c r="Z344" s="33"/>
    </row>
    <row r="345" spans="1:26" x14ac:dyDescent="0.25">
      <c r="A345" s="33"/>
      <c r="B345" s="12"/>
      <c r="C345" s="33"/>
      <c r="D345" s="41"/>
      <c r="H345" s="21"/>
      <c r="I345" s="33"/>
      <c r="J345" s="42"/>
      <c r="K345" s="43"/>
      <c r="L345" s="44"/>
      <c r="M34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45" s="38">
        <f>tblDonnées[[#This Row],[MONTANT OPERATION]]+tblDonnées[[#This Row],[POS  FUSIONNEE CPTE AVANT OP]]</f>
        <v>0</v>
      </c>
      <c r="O345" s="17" t="str">
        <f>IF(ISBLANK(tblDonnées[[#This Row],[MONTANT AUTO]]), "N/A", ABS(tblDonnées[[#This Row],[POS  FUSIONNEE CPTE APRES OP]])-ABS(tblDonnées[[#This Row],[MONTANT AUTO]]))</f>
        <v>N/A</v>
      </c>
      <c r="P345" s="39" t="e">
        <f>tblDonnées[[#This Row],[DEPASSEMENT TOTAL SUR AUTO
]]/-tblDonnées[[#This Row],[MONTANT AUTO]]</f>
        <v>#VALUE!</v>
      </c>
      <c r="Q345" s="33"/>
      <c r="R345" s="33"/>
      <c r="S345" s="33"/>
      <c r="T345" s="40">
        <f>IF(tblDonnées[[#This Row],[0,5% du dép]]&lt;5000,5000,IF(tblDonnées[[#This Row],[0,5% du dép]]&gt;50000,50000,tblDonnées[[#This Row],[0,5% du dép]]))</f>
        <v>5000</v>
      </c>
      <c r="U345" s="10">
        <f>ABS(tblDonnées[[#This Row],[MONTANT DEPASSEMENT]]*0.005)</f>
        <v>0</v>
      </c>
      <c r="V345" s="33"/>
      <c r="W345" s="33"/>
      <c r="X345" s="33"/>
      <c r="Y345" s="33"/>
      <c r="Z345" s="33"/>
    </row>
    <row r="346" spans="1:26" x14ac:dyDescent="0.25">
      <c r="A346" s="33"/>
      <c r="B346" s="12"/>
      <c r="C346" s="33"/>
      <c r="D346" s="41"/>
      <c r="H346" s="21"/>
      <c r="I346" s="33"/>
      <c r="J346" s="42"/>
      <c r="K346" s="43"/>
      <c r="L346" s="44"/>
      <c r="M34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46" s="38">
        <f>tblDonnées[[#This Row],[MONTANT OPERATION]]+tblDonnées[[#This Row],[POS  FUSIONNEE CPTE AVANT OP]]</f>
        <v>0</v>
      </c>
      <c r="O346" s="17" t="str">
        <f>IF(ISBLANK(tblDonnées[[#This Row],[MONTANT AUTO]]), "N/A", ABS(tblDonnées[[#This Row],[POS  FUSIONNEE CPTE APRES OP]])-ABS(tblDonnées[[#This Row],[MONTANT AUTO]]))</f>
        <v>N/A</v>
      </c>
      <c r="P346" s="39" t="e">
        <f>tblDonnées[[#This Row],[DEPASSEMENT TOTAL SUR AUTO
]]/-tblDonnées[[#This Row],[MONTANT AUTO]]</f>
        <v>#VALUE!</v>
      </c>
      <c r="Q346" s="33"/>
      <c r="R346" s="33"/>
      <c r="S346" s="33"/>
      <c r="T346" s="40">
        <f>IF(tblDonnées[[#This Row],[0,5% du dép]]&lt;5000,5000,IF(tblDonnées[[#This Row],[0,5% du dép]]&gt;50000,50000,tblDonnées[[#This Row],[0,5% du dép]]))</f>
        <v>5000</v>
      </c>
      <c r="U346" s="10">
        <f>ABS(tblDonnées[[#This Row],[MONTANT DEPASSEMENT]]*0.005)</f>
        <v>0</v>
      </c>
      <c r="V346" s="33"/>
      <c r="W346" s="33"/>
      <c r="X346" s="33"/>
      <c r="Y346" s="33"/>
      <c r="Z346" s="33"/>
    </row>
    <row r="347" spans="1:26" x14ac:dyDescent="0.25">
      <c r="A347" s="33"/>
      <c r="B347" s="12"/>
      <c r="C347" s="33"/>
      <c r="D347" s="41"/>
      <c r="H347" s="21"/>
      <c r="I347" s="33"/>
      <c r="J347" s="42"/>
      <c r="K347" s="43"/>
      <c r="L347" s="44"/>
      <c r="M34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47" s="38">
        <f>tblDonnées[[#This Row],[MONTANT OPERATION]]+tblDonnées[[#This Row],[POS  FUSIONNEE CPTE AVANT OP]]</f>
        <v>0</v>
      </c>
      <c r="O347" s="17" t="str">
        <f>IF(ISBLANK(tblDonnées[[#This Row],[MONTANT AUTO]]), "N/A", ABS(tblDonnées[[#This Row],[POS  FUSIONNEE CPTE APRES OP]])-ABS(tblDonnées[[#This Row],[MONTANT AUTO]]))</f>
        <v>N/A</v>
      </c>
      <c r="P347" s="39" t="e">
        <f>tblDonnées[[#This Row],[DEPASSEMENT TOTAL SUR AUTO
]]/-tblDonnées[[#This Row],[MONTANT AUTO]]</f>
        <v>#VALUE!</v>
      </c>
      <c r="Q347" s="33"/>
      <c r="R347" s="33"/>
      <c r="S347" s="33"/>
      <c r="T347" s="40">
        <f>IF(tblDonnées[[#This Row],[0,5% du dép]]&lt;5000,5000,IF(tblDonnées[[#This Row],[0,5% du dép]]&gt;50000,50000,tblDonnées[[#This Row],[0,5% du dép]]))</f>
        <v>5000</v>
      </c>
      <c r="U347" s="10">
        <f>ABS(tblDonnées[[#This Row],[MONTANT DEPASSEMENT]]*0.005)</f>
        <v>0</v>
      </c>
      <c r="V347" s="33"/>
      <c r="W347" s="33"/>
      <c r="X347" s="33"/>
      <c r="Y347" s="33"/>
      <c r="Z347" s="33"/>
    </row>
    <row r="348" spans="1:26" x14ac:dyDescent="0.25">
      <c r="A348" s="33"/>
      <c r="B348" s="12"/>
      <c r="C348" s="33"/>
      <c r="D348" s="41"/>
      <c r="H348" s="21"/>
      <c r="I348" s="33"/>
      <c r="J348" s="42"/>
      <c r="K348" s="43"/>
      <c r="L348" s="44"/>
      <c r="M34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48" s="38">
        <f>tblDonnées[[#This Row],[MONTANT OPERATION]]+tblDonnées[[#This Row],[POS  FUSIONNEE CPTE AVANT OP]]</f>
        <v>0</v>
      </c>
      <c r="O348" s="17" t="str">
        <f>IF(ISBLANK(tblDonnées[[#This Row],[MONTANT AUTO]]), "N/A", ABS(tblDonnées[[#This Row],[POS  FUSIONNEE CPTE APRES OP]])-ABS(tblDonnées[[#This Row],[MONTANT AUTO]]))</f>
        <v>N/A</v>
      </c>
      <c r="P348" s="39" t="e">
        <f>tblDonnées[[#This Row],[DEPASSEMENT TOTAL SUR AUTO
]]/-tblDonnées[[#This Row],[MONTANT AUTO]]</f>
        <v>#VALUE!</v>
      </c>
      <c r="Q348" s="33"/>
      <c r="R348" s="33"/>
      <c r="S348" s="33"/>
      <c r="T348" s="40">
        <f>IF(tblDonnées[[#This Row],[0,5% du dép]]&lt;5000,5000,IF(tblDonnées[[#This Row],[0,5% du dép]]&gt;50000,50000,tblDonnées[[#This Row],[0,5% du dép]]))</f>
        <v>5000</v>
      </c>
      <c r="U348" s="10">
        <f>ABS(tblDonnées[[#This Row],[MONTANT DEPASSEMENT]]*0.005)</f>
        <v>0</v>
      </c>
      <c r="V348" s="33"/>
      <c r="W348" s="33"/>
      <c r="X348" s="33"/>
      <c r="Y348" s="33"/>
      <c r="Z348" s="33"/>
    </row>
    <row r="349" spans="1:26" x14ac:dyDescent="0.25">
      <c r="A349" s="33"/>
      <c r="B349" s="12"/>
      <c r="C349" s="33"/>
      <c r="D349" s="41"/>
      <c r="H349" s="21"/>
      <c r="I349" s="33"/>
      <c r="J349" s="42"/>
      <c r="K349" s="43"/>
      <c r="L349" s="44"/>
      <c r="M34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49" s="38">
        <f>tblDonnées[[#This Row],[MONTANT OPERATION]]+tblDonnées[[#This Row],[POS  FUSIONNEE CPTE AVANT OP]]</f>
        <v>0</v>
      </c>
      <c r="O349" s="17" t="str">
        <f>IF(ISBLANK(tblDonnées[[#This Row],[MONTANT AUTO]]), "N/A", ABS(tblDonnées[[#This Row],[POS  FUSIONNEE CPTE APRES OP]])-ABS(tblDonnées[[#This Row],[MONTANT AUTO]]))</f>
        <v>N/A</v>
      </c>
      <c r="P349" s="39" t="e">
        <f>tblDonnées[[#This Row],[DEPASSEMENT TOTAL SUR AUTO
]]/-tblDonnées[[#This Row],[MONTANT AUTO]]</f>
        <v>#VALUE!</v>
      </c>
      <c r="Q349" s="33"/>
      <c r="R349" s="33"/>
      <c r="S349" s="33"/>
      <c r="T349" s="40">
        <f>IF(tblDonnées[[#This Row],[0,5% du dép]]&lt;5000,5000,IF(tblDonnées[[#This Row],[0,5% du dép]]&gt;50000,50000,tblDonnées[[#This Row],[0,5% du dép]]))</f>
        <v>5000</v>
      </c>
      <c r="U349" s="10">
        <f>ABS(tblDonnées[[#This Row],[MONTANT DEPASSEMENT]]*0.005)</f>
        <v>0</v>
      </c>
      <c r="V349" s="33"/>
      <c r="W349" s="33"/>
      <c r="X349" s="33"/>
      <c r="Y349" s="33"/>
      <c r="Z349" s="33"/>
    </row>
    <row r="350" spans="1:26" x14ac:dyDescent="0.25">
      <c r="A350" s="33"/>
      <c r="B350" s="12"/>
      <c r="C350" s="33"/>
      <c r="D350" s="41"/>
      <c r="H350" s="21"/>
      <c r="I350" s="33"/>
      <c r="J350" s="42"/>
      <c r="K350" s="43"/>
      <c r="L350" s="44"/>
      <c r="M35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50" s="38">
        <f>tblDonnées[[#This Row],[MONTANT OPERATION]]+tblDonnées[[#This Row],[POS  FUSIONNEE CPTE AVANT OP]]</f>
        <v>0</v>
      </c>
      <c r="O350" s="17" t="str">
        <f>IF(ISBLANK(tblDonnées[[#This Row],[MONTANT AUTO]]), "N/A", ABS(tblDonnées[[#This Row],[POS  FUSIONNEE CPTE APRES OP]])-ABS(tblDonnées[[#This Row],[MONTANT AUTO]]))</f>
        <v>N/A</v>
      </c>
      <c r="P350" s="39" t="e">
        <f>tblDonnées[[#This Row],[DEPASSEMENT TOTAL SUR AUTO
]]/-tblDonnées[[#This Row],[MONTANT AUTO]]</f>
        <v>#VALUE!</v>
      </c>
      <c r="Q350" s="33"/>
      <c r="R350" s="33"/>
      <c r="S350" s="33"/>
      <c r="T350" s="40">
        <f>IF(tblDonnées[[#This Row],[0,5% du dép]]&lt;5000,5000,IF(tblDonnées[[#This Row],[0,5% du dép]]&gt;50000,50000,tblDonnées[[#This Row],[0,5% du dép]]))</f>
        <v>5000</v>
      </c>
      <c r="U350" s="10">
        <f>ABS(tblDonnées[[#This Row],[MONTANT DEPASSEMENT]]*0.005)</f>
        <v>0</v>
      </c>
      <c r="V350" s="33"/>
      <c r="W350" s="33"/>
      <c r="X350" s="33"/>
      <c r="Y350" s="33"/>
      <c r="Z350" s="33"/>
    </row>
    <row r="351" spans="1:26" x14ac:dyDescent="0.25">
      <c r="A351" s="33"/>
      <c r="B351" s="12"/>
      <c r="C351" s="33"/>
      <c r="D351" s="41"/>
      <c r="H351" s="21"/>
      <c r="I351" s="33"/>
      <c r="J351" s="42"/>
      <c r="K351" s="43"/>
      <c r="L351" s="44"/>
      <c r="M35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51" s="38">
        <f>tblDonnées[[#This Row],[MONTANT OPERATION]]+tblDonnées[[#This Row],[POS  FUSIONNEE CPTE AVANT OP]]</f>
        <v>0</v>
      </c>
      <c r="O351" s="17" t="str">
        <f>IF(ISBLANK(tblDonnées[[#This Row],[MONTANT AUTO]]), "N/A", ABS(tblDonnées[[#This Row],[POS  FUSIONNEE CPTE APRES OP]])-ABS(tblDonnées[[#This Row],[MONTANT AUTO]]))</f>
        <v>N/A</v>
      </c>
      <c r="P351" s="39" t="e">
        <f>tblDonnées[[#This Row],[DEPASSEMENT TOTAL SUR AUTO
]]/-tblDonnées[[#This Row],[MONTANT AUTO]]</f>
        <v>#VALUE!</v>
      </c>
      <c r="Q351" s="33"/>
      <c r="R351" s="33"/>
      <c r="S351" s="33"/>
      <c r="T351" s="40">
        <f>IF(tblDonnées[[#This Row],[0,5% du dép]]&lt;5000,5000,IF(tblDonnées[[#This Row],[0,5% du dép]]&gt;50000,50000,tblDonnées[[#This Row],[0,5% du dép]]))</f>
        <v>5000</v>
      </c>
      <c r="U351" s="10">
        <f>ABS(tblDonnées[[#This Row],[MONTANT DEPASSEMENT]]*0.005)</f>
        <v>0</v>
      </c>
      <c r="V351" s="33"/>
      <c r="W351" s="33"/>
      <c r="X351" s="33"/>
      <c r="Y351" s="33"/>
      <c r="Z351" s="33"/>
    </row>
    <row r="352" spans="1:26" x14ac:dyDescent="0.25">
      <c r="A352" s="33"/>
      <c r="B352" s="12"/>
      <c r="C352" s="33"/>
      <c r="D352" s="41"/>
      <c r="H352" s="21"/>
      <c r="I352" s="33"/>
      <c r="J352" s="42"/>
      <c r="K352" s="43"/>
      <c r="L352" s="44"/>
      <c r="M35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52" s="38">
        <f>tblDonnées[[#This Row],[MONTANT OPERATION]]+tblDonnées[[#This Row],[POS  FUSIONNEE CPTE AVANT OP]]</f>
        <v>0</v>
      </c>
      <c r="O352" s="17" t="str">
        <f>IF(ISBLANK(tblDonnées[[#This Row],[MONTANT AUTO]]), "N/A", ABS(tblDonnées[[#This Row],[POS  FUSIONNEE CPTE APRES OP]])-ABS(tblDonnées[[#This Row],[MONTANT AUTO]]))</f>
        <v>N/A</v>
      </c>
      <c r="P352" s="39" t="e">
        <f>tblDonnées[[#This Row],[DEPASSEMENT TOTAL SUR AUTO
]]/-tblDonnées[[#This Row],[MONTANT AUTO]]</f>
        <v>#VALUE!</v>
      </c>
      <c r="Q352" s="33"/>
      <c r="R352" s="33"/>
      <c r="S352" s="33"/>
      <c r="T352" s="40">
        <f>IF(tblDonnées[[#This Row],[0,5% du dép]]&lt;5000,5000,IF(tblDonnées[[#This Row],[0,5% du dép]]&gt;50000,50000,tblDonnées[[#This Row],[0,5% du dép]]))</f>
        <v>5000</v>
      </c>
      <c r="U352" s="10">
        <f>ABS(tblDonnées[[#This Row],[MONTANT DEPASSEMENT]]*0.005)</f>
        <v>0</v>
      </c>
      <c r="V352" s="33"/>
      <c r="W352" s="33"/>
      <c r="X352" s="33"/>
      <c r="Y352" s="33"/>
      <c r="Z352" s="33"/>
    </row>
    <row r="353" spans="1:26" x14ac:dyDescent="0.25">
      <c r="A353" s="33"/>
      <c r="B353" s="12"/>
      <c r="C353" s="33"/>
      <c r="D353" s="41"/>
      <c r="H353" s="21"/>
      <c r="I353" s="33"/>
      <c r="J353" s="42"/>
      <c r="K353" s="43"/>
      <c r="L353" s="44"/>
      <c r="M35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53" s="38">
        <f>tblDonnées[[#This Row],[MONTANT OPERATION]]+tblDonnées[[#This Row],[POS  FUSIONNEE CPTE AVANT OP]]</f>
        <v>0</v>
      </c>
      <c r="O353" s="17" t="str">
        <f>IF(ISBLANK(tblDonnées[[#This Row],[MONTANT AUTO]]), "N/A", ABS(tblDonnées[[#This Row],[POS  FUSIONNEE CPTE APRES OP]])-ABS(tblDonnées[[#This Row],[MONTANT AUTO]]))</f>
        <v>N/A</v>
      </c>
      <c r="P353" s="39" t="e">
        <f>tblDonnées[[#This Row],[DEPASSEMENT TOTAL SUR AUTO
]]/-tblDonnées[[#This Row],[MONTANT AUTO]]</f>
        <v>#VALUE!</v>
      </c>
      <c r="Q353" s="33"/>
      <c r="R353" s="33"/>
      <c r="S353" s="33"/>
      <c r="T353" s="40">
        <f>IF(tblDonnées[[#This Row],[0,5% du dép]]&lt;5000,5000,IF(tblDonnées[[#This Row],[0,5% du dép]]&gt;50000,50000,tblDonnées[[#This Row],[0,5% du dép]]))</f>
        <v>5000</v>
      </c>
      <c r="U353" s="10">
        <f>ABS(tblDonnées[[#This Row],[MONTANT DEPASSEMENT]]*0.005)</f>
        <v>0</v>
      </c>
      <c r="V353" s="33"/>
      <c r="W353" s="33"/>
      <c r="X353" s="33"/>
      <c r="Y353" s="33"/>
      <c r="Z353" s="33"/>
    </row>
    <row r="354" spans="1:26" x14ac:dyDescent="0.25">
      <c r="A354" s="33"/>
      <c r="B354" s="12"/>
      <c r="C354" s="33"/>
      <c r="D354" s="41"/>
      <c r="H354" s="21"/>
      <c r="I354" s="33"/>
      <c r="J354" s="42"/>
      <c r="K354" s="43"/>
      <c r="L354" s="44"/>
      <c r="M35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54" s="38">
        <f>tblDonnées[[#This Row],[MONTANT OPERATION]]+tblDonnées[[#This Row],[POS  FUSIONNEE CPTE AVANT OP]]</f>
        <v>0</v>
      </c>
      <c r="O354" s="17" t="str">
        <f>IF(ISBLANK(tblDonnées[[#This Row],[MONTANT AUTO]]), "N/A", ABS(tblDonnées[[#This Row],[POS  FUSIONNEE CPTE APRES OP]])-ABS(tblDonnées[[#This Row],[MONTANT AUTO]]))</f>
        <v>N/A</v>
      </c>
      <c r="P354" s="39" t="e">
        <f>tblDonnées[[#This Row],[DEPASSEMENT TOTAL SUR AUTO
]]/-tblDonnées[[#This Row],[MONTANT AUTO]]</f>
        <v>#VALUE!</v>
      </c>
      <c r="Q354" s="33"/>
      <c r="R354" s="33"/>
      <c r="S354" s="33"/>
      <c r="T354" s="40">
        <f>IF(tblDonnées[[#This Row],[0,5% du dép]]&lt;5000,5000,IF(tblDonnées[[#This Row],[0,5% du dép]]&gt;50000,50000,tblDonnées[[#This Row],[0,5% du dép]]))</f>
        <v>5000</v>
      </c>
      <c r="U354" s="10">
        <f>ABS(tblDonnées[[#This Row],[MONTANT DEPASSEMENT]]*0.005)</f>
        <v>0</v>
      </c>
      <c r="V354" s="33"/>
      <c r="W354" s="33"/>
      <c r="X354" s="33"/>
      <c r="Y354" s="33"/>
      <c r="Z354" s="33"/>
    </row>
    <row r="355" spans="1:26" x14ac:dyDescent="0.25">
      <c r="A355" s="33"/>
      <c r="B355" s="12"/>
      <c r="C355" s="33"/>
      <c r="D355" s="41"/>
      <c r="H355" s="21"/>
      <c r="I355" s="33"/>
      <c r="J355" s="42"/>
      <c r="K355" s="43"/>
      <c r="L355" s="44"/>
      <c r="M35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55" s="38">
        <f>tblDonnées[[#This Row],[MONTANT OPERATION]]+tblDonnées[[#This Row],[POS  FUSIONNEE CPTE AVANT OP]]</f>
        <v>0</v>
      </c>
      <c r="O355" s="17" t="str">
        <f>IF(ISBLANK(tblDonnées[[#This Row],[MONTANT AUTO]]), "N/A", ABS(tblDonnées[[#This Row],[POS  FUSIONNEE CPTE APRES OP]])-ABS(tblDonnées[[#This Row],[MONTANT AUTO]]))</f>
        <v>N/A</v>
      </c>
      <c r="P355" s="39" t="e">
        <f>tblDonnées[[#This Row],[DEPASSEMENT TOTAL SUR AUTO
]]/-tblDonnées[[#This Row],[MONTANT AUTO]]</f>
        <v>#VALUE!</v>
      </c>
      <c r="Q355" s="33"/>
      <c r="R355" s="33"/>
      <c r="S355" s="33"/>
      <c r="T355" s="40">
        <f>IF(tblDonnées[[#This Row],[0,5% du dép]]&lt;5000,5000,IF(tblDonnées[[#This Row],[0,5% du dép]]&gt;50000,50000,tblDonnées[[#This Row],[0,5% du dép]]))</f>
        <v>5000</v>
      </c>
      <c r="U355" s="10">
        <f>ABS(tblDonnées[[#This Row],[MONTANT DEPASSEMENT]]*0.005)</f>
        <v>0</v>
      </c>
      <c r="V355" s="33"/>
      <c r="W355" s="33"/>
      <c r="X355" s="33"/>
      <c r="Y355" s="33"/>
      <c r="Z355" s="33"/>
    </row>
    <row r="356" spans="1:26" x14ac:dyDescent="0.25">
      <c r="A356" s="33"/>
      <c r="B356" s="12"/>
      <c r="C356" s="33"/>
      <c r="D356" s="41"/>
      <c r="H356" s="21"/>
      <c r="I356" s="33"/>
      <c r="J356" s="42"/>
      <c r="K356" s="43"/>
      <c r="L356" s="44"/>
      <c r="M35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56" s="38">
        <f>tblDonnées[[#This Row],[MONTANT OPERATION]]+tblDonnées[[#This Row],[POS  FUSIONNEE CPTE AVANT OP]]</f>
        <v>0</v>
      </c>
      <c r="O356" s="17" t="str">
        <f>IF(ISBLANK(tblDonnées[[#This Row],[MONTANT AUTO]]), "N/A", ABS(tblDonnées[[#This Row],[POS  FUSIONNEE CPTE APRES OP]])-ABS(tblDonnées[[#This Row],[MONTANT AUTO]]))</f>
        <v>N/A</v>
      </c>
      <c r="P356" s="39" t="e">
        <f>tblDonnées[[#This Row],[DEPASSEMENT TOTAL SUR AUTO
]]/-tblDonnées[[#This Row],[MONTANT AUTO]]</f>
        <v>#VALUE!</v>
      </c>
      <c r="Q356" s="33"/>
      <c r="R356" s="33"/>
      <c r="S356" s="33"/>
      <c r="T356" s="40">
        <f>IF(tblDonnées[[#This Row],[0,5% du dép]]&lt;5000,5000,IF(tblDonnées[[#This Row],[0,5% du dép]]&gt;50000,50000,tblDonnées[[#This Row],[0,5% du dép]]))</f>
        <v>5000</v>
      </c>
      <c r="U356" s="10">
        <f>ABS(tblDonnées[[#This Row],[MONTANT DEPASSEMENT]]*0.005)</f>
        <v>0</v>
      </c>
      <c r="V356" s="33"/>
      <c r="W356" s="33"/>
      <c r="X356" s="33"/>
      <c r="Y356" s="33"/>
      <c r="Z356" s="33"/>
    </row>
    <row r="357" spans="1:26" x14ac:dyDescent="0.25">
      <c r="A357" s="33"/>
      <c r="B357" s="12"/>
      <c r="C357" s="33"/>
      <c r="D357" s="41"/>
      <c r="H357" s="21"/>
      <c r="I357" s="33"/>
      <c r="J357" s="42"/>
      <c r="K357" s="43"/>
      <c r="L357" s="44"/>
      <c r="M35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57" s="38">
        <f>tblDonnées[[#This Row],[MONTANT OPERATION]]+tblDonnées[[#This Row],[POS  FUSIONNEE CPTE AVANT OP]]</f>
        <v>0</v>
      </c>
      <c r="O357" s="17" t="str">
        <f>IF(ISBLANK(tblDonnées[[#This Row],[MONTANT AUTO]]), "N/A", ABS(tblDonnées[[#This Row],[POS  FUSIONNEE CPTE APRES OP]])-ABS(tblDonnées[[#This Row],[MONTANT AUTO]]))</f>
        <v>N/A</v>
      </c>
      <c r="P357" s="39" t="e">
        <f>tblDonnées[[#This Row],[DEPASSEMENT TOTAL SUR AUTO
]]/-tblDonnées[[#This Row],[MONTANT AUTO]]</f>
        <v>#VALUE!</v>
      </c>
      <c r="Q357" s="33"/>
      <c r="R357" s="33"/>
      <c r="S357" s="33"/>
      <c r="T357" s="40">
        <f>IF(tblDonnées[[#This Row],[0,5% du dép]]&lt;5000,5000,IF(tblDonnées[[#This Row],[0,5% du dép]]&gt;50000,50000,tblDonnées[[#This Row],[0,5% du dép]]))</f>
        <v>5000</v>
      </c>
      <c r="U357" s="10">
        <f>ABS(tblDonnées[[#This Row],[MONTANT DEPASSEMENT]]*0.005)</f>
        <v>0</v>
      </c>
      <c r="V357" s="33"/>
      <c r="W357" s="33"/>
      <c r="X357" s="33"/>
      <c r="Y357" s="33"/>
      <c r="Z357" s="33"/>
    </row>
    <row r="358" spans="1:26" x14ac:dyDescent="0.25">
      <c r="A358" s="33"/>
      <c r="B358" s="12"/>
      <c r="C358" s="33"/>
      <c r="D358" s="41"/>
      <c r="H358" s="21"/>
      <c r="I358" s="33"/>
      <c r="J358" s="42"/>
      <c r="K358" s="43"/>
      <c r="L358" s="44"/>
      <c r="M35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58" s="38">
        <f>tblDonnées[[#This Row],[MONTANT OPERATION]]+tblDonnées[[#This Row],[POS  FUSIONNEE CPTE AVANT OP]]</f>
        <v>0</v>
      </c>
      <c r="O358" s="17" t="str">
        <f>IF(ISBLANK(tblDonnées[[#This Row],[MONTANT AUTO]]), "N/A", ABS(tblDonnées[[#This Row],[POS  FUSIONNEE CPTE APRES OP]])-ABS(tblDonnées[[#This Row],[MONTANT AUTO]]))</f>
        <v>N/A</v>
      </c>
      <c r="P358" s="39" t="e">
        <f>tblDonnées[[#This Row],[DEPASSEMENT TOTAL SUR AUTO
]]/-tblDonnées[[#This Row],[MONTANT AUTO]]</f>
        <v>#VALUE!</v>
      </c>
      <c r="Q358" s="33"/>
      <c r="R358" s="33"/>
      <c r="S358" s="33"/>
      <c r="T358" s="40">
        <f>IF(tblDonnées[[#This Row],[0,5% du dép]]&lt;5000,5000,IF(tblDonnées[[#This Row],[0,5% du dép]]&gt;50000,50000,tblDonnées[[#This Row],[0,5% du dép]]))</f>
        <v>5000</v>
      </c>
      <c r="U358" s="10">
        <f>ABS(tblDonnées[[#This Row],[MONTANT DEPASSEMENT]]*0.005)</f>
        <v>0</v>
      </c>
      <c r="V358" s="33"/>
      <c r="W358" s="33"/>
      <c r="X358" s="33"/>
      <c r="Y358" s="33"/>
      <c r="Z358" s="33"/>
    </row>
    <row r="359" spans="1:26" x14ac:dyDescent="0.25">
      <c r="A359" s="33"/>
      <c r="B359" s="12"/>
      <c r="C359" s="33"/>
      <c r="D359" s="41"/>
      <c r="H359" s="21"/>
      <c r="I359" s="33"/>
      <c r="J359" s="42"/>
      <c r="K359" s="43"/>
      <c r="L359" s="44"/>
      <c r="M35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59" s="38">
        <f>tblDonnées[[#This Row],[MONTANT OPERATION]]+tblDonnées[[#This Row],[POS  FUSIONNEE CPTE AVANT OP]]</f>
        <v>0</v>
      </c>
      <c r="O359" s="17" t="str">
        <f>IF(ISBLANK(tblDonnées[[#This Row],[MONTANT AUTO]]), "N/A", ABS(tblDonnées[[#This Row],[POS  FUSIONNEE CPTE APRES OP]])-ABS(tblDonnées[[#This Row],[MONTANT AUTO]]))</f>
        <v>N/A</v>
      </c>
      <c r="P359" s="39" t="e">
        <f>tblDonnées[[#This Row],[DEPASSEMENT TOTAL SUR AUTO
]]/-tblDonnées[[#This Row],[MONTANT AUTO]]</f>
        <v>#VALUE!</v>
      </c>
      <c r="Q359" s="33"/>
      <c r="R359" s="33"/>
      <c r="S359" s="33"/>
      <c r="T359" s="40">
        <f>IF(tblDonnées[[#This Row],[0,5% du dép]]&lt;5000,5000,IF(tblDonnées[[#This Row],[0,5% du dép]]&gt;50000,50000,tblDonnées[[#This Row],[0,5% du dép]]))</f>
        <v>5000</v>
      </c>
      <c r="U359" s="10">
        <f>ABS(tblDonnées[[#This Row],[MONTANT DEPASSEMENT]]*0.005)</f>
        <v>0</v>
      </c>
      <c r="V359" s="33"/>
      <c r="W359" s="33"/>
      <c r="X359" s="33"/>
      <c r="Y359" s="33"/>
      <c r="Z359" s="33"/>
    </row>
    <row r="360" spans="1:26" x14ac:dyDescent="0.25">
      <c r="A360" s="33"/>
      <c r="B360" s="12"/>
      <c r="C360" s="33"/>
      <c r="D360" s="41"/>
      <c r="H360" s="21"/>
      <c r="I360" s="33"/>
      <c r="J360" s="42"/>
      <c r="K360" s="43"/>
      <c r="L360" s="44"/>
      <c r="M36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60" s="38">
        <f>tblDonnées[[#This Row],[MONTANT OPERATION]]+tblDonnées[[#This Row],[POS  FUSIONNEE CPTE AVANT OP]]</f>
        <v>0</v>
      </c>
      <c r="O360" s="17" t="str">
        <f>IF(ISBLANK(tblDonnées[[#This Row],[MONTANT AUTO]]), "N/A", ABS(tblDonnées[[#This Row],[POS  FUSIONNEE CPTE APRES OP]])-ABS(tblDonnées[[#This Row],[MONTANT AUTO]]))</f>
        <v>N/A</v>
      </c>
      <c r="P360" s="39" t="e">
        <f>tblDonnées[[#This Row],[DEPASSEMENT TOTAL SUR AUTO
]]/-tblDonnées[[#This Row],[MONTANT AUTO]]</f>
        <v>#VALUE!</v>
      </c>
      <c r="Q360" s="33"/>
      <c r="R360" s="33"/>
      <c r="S360" s="33"/>
      <c r="T360" s="40">
        <f>IF(tblDonnées[[#This Row],[0,5% du dép]]&lt;5000,5000,IF(tblDonnées[[#This Row],[0,5% du dép]]&gt;50000,50000,tblDonnées[[#This Row],[0,5% du dép]]))</f>
        <v>5000</v>
      </c>
      <c r="U360" s="10">
        <f>ABS(tblDonnées[[#This Row],[MONTANT DEPASSEMENT]]*0.005)</f>
        <v>0</v>
      </c>
      <c r="V360" s="33"/>
      <c r="W360" s="33"/>
      <c r="X360" s="33"/>
      <c r="Y360" s="33"/>
      <c r="Z360" s="33"/>
    </row>
    <row r="361" spans="1:26" x14ac:dyDescent="0.25">
      <c r="A361" s="33"/>
      <c r="B361" s="12"/>
      <c r="C361" s="33"/>
      <c r="D361" s="41"/>
      <c r="H361" s="21"/>
      <c r="I361" s="33"/>
      <c r="J361" s="42"/>
      <c r="K361" s="43"/>
      <c r="L361" s="44"/>
      <c r="M36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61" s="38">
        <f>tblDonnées[[#This Row],[MONTANT OPERATION]]+tblDonnées[[#This Row],[POS  FUSIONNEE CPTE AVANT OP]]</f>
        <v>0</v>
      </c>
      <c r="O361" s="17" t="str">
        <f>IF(ISBLANK(tblDonnées[[#This Row],[MONTANT AUTO]]), "N/A", ABS(tblDonnées[[#This Row],[POS  FUSIONNEE CPTE APRES OP]])-ABS(tblDonnées[[#This Row],[MONTANT AUTO]]))</f>
        <v>N/A</v>
      </c>
      <c r="P361" s="39" t="e">
        <f>tblDonnées[[#This Row],[DEPASSEMENT TOTAL SUR AUTO
]]/-tblDonnées[[#This Row],[MONTANT AUTO]]</f>
        <v>#VALUE!</v>
      </c>
      <c r="Q361" s="33"/>
      <c r="R361" s="33"/>
      <c r="S361" s="33"/>
      <c r="T361" s="40">
        <f>IF(tblDonnées[[#This Row],[0,5% du dép]]&lt;5000,5000,IF(tblDonnées[[#This Row],[0,5% du dép]]&gt;50000,50000,tblDonnées[[#This Row],[0,5% du dép]]))</f>
        <v>5000</v>
      </c>
      <c r="U361" s="10">
        <f>ABS(tblDonnées[[#This Row],[MONTANT DEPASSEMENT]]*0.005)</f>
        <v>0</v>
      </c>
      <c r="V361" s="33"/>
      <c r="W361" s="33"/>
      <c r="X361" s="33"/>
      <c r="Y361" s="33"/>
      <c r="Z361" s="33"/>
    </row>
    <row r="362" spans="1:26" x14ac:dyDescent="0.25">
      <c r="A362" s="33"/>
      <c r="B362" s="12"/>
      <c r="C362" s="33"/>
      <c r="D362" s="41"/>
      <c r="H362" s="21"/>
      <c r="I362" s="33"/>
      <c r="J362" s="42"/>
      <c r="K362" s="43"/>
      <c r="L362" s="44"/>
      <c r="M36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62" s="38">
        <f>tblDonnées[[#This Row],[MONTANT OPERATION]]+tblDonnées[[#This Row],[POS  FUSIONNEE CPTE AVANT OP]]</f>
        <v>0</v>
      </c>
      <c r="O362" s="17" t="str">
        <f>IF(ISBLANK(tblDonnées[[#This Row],[MONTANT AUTO]]), "N/A", ABS(tblDonnées[[#This Row],[POS  FUSIONNEE CPTE APRES OP]])-ABS(tblDonnées[[#This Row],[MONTANT AUTO]]))</f>
        <v>N/A</v>
      </c>
      <c r="P362" s="39" t="e">
        <f>tblDonnées[[#This Row],[DEPASSEMENT TOTAL SUR AUTO
]]/-tblDonnées[[#This Row],[MONTANT AUTO]]</f>
        <v>#VALUE!</v>
      </c>
      <c r="Q362" s="33"/>
      <c r="R362" s="33"/>
      <c r="S362" s="33"/>
      <c r="T362" s="40">
        <f>IF(tblDonnées[[#This Row],[0,5% du dép]]&lt;5000,5000,IF(tblDonnées[[#This Row],[0,5% du dép]]&gt;50000,50000,tblDonnées[[#This Row],[0,5% du dép]]))</f>
        <v>5000</v>
      </c>
      <c r="U362" s="10">
        <f>ABS(tblDonnées[[#This Row],[MONTANT DEPASSEMENT]]*0.005)</f>
        <v>0</v>
      </c>
      <c r="V362" s="33"/>
      <c r="W362" s="33"/>
      <c r="X362" s="33"/>
      <c r="Y362" s="33"/>
      <c r="Z362" s="33"/>
    </row>
    <row r="363" spans="1:26" x14ac:dyDescent="0.25">
      <c r="A363" s="33"/>
      <c r="B363" s="12"/>
      <c r="C363" s="33"/>
      <c r="D363" s="41"/>
      <c r="H363" s="21"/>
      <c r="I363" s="33"/>
      <c r="J363" s="42"/>
      <c r="K363" s="43"/>
      <c r="L363" s="44"/>
      <c r="M36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63" s="38">
        <f>tblDonnées[[#This Row],[MONTANT OPERATION]]+tblDonnées[[#This Row],[POS  FUSIONNEE CPTE AVANT OP]]</f>
        <v>0</v>
      </c>
      <c r="O363" s="17" t="str">
        <f>IF(ISBLANK(tblDonnées[[#This Row],[MONTANT AUTO]]), "N/A", ABS(tblDonnées[[#This Row],[POS  FUSIONNEE CPTE APRES OP]])-ABS(tblDonnées[[#This Row],[MONTANT AUTO]]))</f>
        <v>N/A</v>
      </c>
      <c r="P363" s="39" t="e">
        <f>tblDonnées[[#This Row],[DEPASSEMENT TOTAL SUR AUTO
]]/-tblDonnées[[#This Row],[MONTANT AUTO]]</f>
        <v>#VALUE!</v>
      </c>
      <c r="Q363" s="33"/>
      <c r="R363" s="33"/>
      <c r="S363" s="33"/>
      <c r="T363" s="40">
        <f>IF(tblDonnées[[#This Row],[0,5% du dép]]&lt;5000,5000,IF(tblDonnées[[#This Row],[0,5% du dép]]&gt;50000,50000,tblDonnées[[#This Row],[0,5% du dép]]))</f>
        <v>5000</v>
      </c>
      <c r="U363" s="10">
        <f>ABS(tblDonnées[[#This Row],[MONTANT DEPASSEMENT]]*0.005)</f>
        <v>0</v>
      </c>
      <c r="V363" s="33"/>
      <c r="W363" s="33"/>
      <c r="X363" s="33"/>
      <c r="Y363" s="33"/>
      <c r="Z363" s="33"/>
    </row>
    <row r="364" spans="1:26" x14ac:dyDescent="0.25">
      <c r="A364" s="33"/>
      <c r="B364" s="12"/>
      <c r="C364" s="33"/>
      <c r="D364" s="41"/>
      <c r="H364" s="21"/>
      <c r="I364" s="33"/>
      <c r="J364" s="42"/>
      <c r="K364" s="43"/>
      <c r="L364" s="44"/>
      <c r="M36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64" s="38">
        <f>tblDonnées[[#This Row],[MONTANT OPERATION]]+tblDonnées[[#This Row],[POS  FUSIONNEE CPTE AVANT OP]]</f>
        <v>0</v>
      </c>
      <c r="O364" s="17" t="str">
        <f>IF(ISBLANK(tblDonnées[[#This Row],[MONTANT AUTO]]), "N/A", ABS(tblDonnées[[#This Row],[POS  FUSIONNEE CPTE APRES OP]])-ABS(tblDonnées[[#This Row],[MONTANT AUTO]]))</f>
        <v>N/A</v>
      </c>
      <c r="P364" s="39" t="e">
        <f>tblDonnées[[#This Row],[DEPASSEMENT TOTAL SUR AUTO
]]/-tblDonnées[[#This Row],[MONTANT AUTO]]</f>
        <v>#VALUE!</v>
      </c>
      <c r="Q364" s="33"/>
      <c r="R364" s="33"/>
      <c r="S364" s="33"/>
      <c r="T364" s="40">
        <f>IF(tblDonnées[[#This Row],[0,5% du dép]]&lt;5000,5000,IF(tblDonnées[[#This Row],[0,5% du dép]]&gt;50000,50000,tblDonnées[[#This Row],[0,5% du dép]]))</f>
        <v>5000</v>
      </c>
      <c r="U364" s="10">
        <f>ABS(tblDonnées[[#This Row],[MONTANT DEPASSEMENT]]*0.005)</f>
        <v>0</v>
      </c>
      <c r="V364" s="33"/>
      <c r="W364" s="33"/>
      <c r="X364" s="33"/>
      <c r="Y364" s="33"/>
      <c r="Z364" s="33"/>
    </row>
    <row r="365" spans="1:26" x14ac:dyDescent="0.25">
      <c r="A365" s="33"/>
      <c r="B365" s="12"/>
      <c r="C365" s="33"/>
      <c r="D365" s="41"/>
      <c r="H365" s="21"/>
      <c r="I365" s="33"/>
      <c r="J365" s="42"/>
      <c r="K365" s="43"/>
      <c r="L365" s="44"/>
      <c r="M36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65" s="38">
        <f>tblDonnées[[#This Row],[MONTANT OPERATION]]+tblDonnées[[#This Row],[POS  FUSIONNEE CPTE AVANT OP]]</f>
        <v>0</v>
      </c>
      <c r="O365" s="17" t="str">
        <f>IF(ISBLANK(tblDonnées[[#This Row],[MONTANT AUTO]]), "N/A", ABS(tblDonnées[[#This Row],[POS  FUSIONNEE CPTE APRES OP]])-ABS(tblDonnées[[#This Row],[MONTANT AUTO]]))</f>
        <v>N/A</v>
      </c>
      <c r="P365" s="39" t="e">
        <f>tblDonnées[[#This Row],[DEPASSEMENT TOTAL SUR AUTO
]]/-tblDonnées[[#This Row],[MONTANT AUTO]]</f>
        <v>#VALUE!</v>
      </c>
      <c r="Q365" s="33"/>
      <c r="R365" s="33"/>
      <c r="S365" s="33"/>
      <c r="T365" s="40">
        <f>IF(tblDonnées[[#This Row],[0,5% du dép]]&lt;5000,5000,IF(tblDonnées[[#This Row],[0,5% du dép]]&gt;50000,50000,tblDonnées[[#This Row],[0,5% du dép]]))</f>
        <v>5000</v>
      </c>
      <c r="U365" s="10">
        <f>ABS(tblDonnées[[#This Row],[MONTANT DEPASSEMENT]]*0.005)</f>
        <v>0</v>
      </c>
      <c r="V365" s="33"/>
      <c r="W365" s="33"/>
      <c r="X365" s="33"/>
      <c r="Y365" s="33"/>
      <c r="Z365" s="33"/>
    </row>
    <row r="366" spans="1:26" x14ac:dyDescent="0.25">
      <c r="A366" s="33"/>
      <c r="B366" s="12"/>
      <c r="C366" s="33"/>
      <c r="D366" s="41"/>
      <c r="H366" s="21"/>
      <c r="I366" s="33"/>
      <c r="J366" s="42"/>
      <c r="K366" s="43"/>
      <c r="L366" s="44"/>
      <c r="M36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66" s="38">
        <f>tblDonnées[[#This Row],[MONTANT OPERATION]]+tblDonnées[[#This Row],[POS  FUSIONNEE CPTE AVANT OP]]</f>
        <v>0</v>
      </c>
      <c r="O366" s="17" t="str">
        <f>IF(ISBLANK(tblDonnées[[#This Row],[MONTANT AUTO]]), "N/A", ABS(tblDonnées[[#This Row],[POS  FUSIONNEE CPTE APRES OP]])-ABS(tblDonnées[[#This Row],[MONTANT AUTO]]))</f>
        <v>N/A</v>
      </c>
      <c r="P366" s="39" t="e">
        <f>tblDonnées[[#This Row],[DEPASSEMENT TOTAL SUR AUTO
]]/-tblDonnées[[#This Row],[MONTANT AUTO]]</f>
        <v>#VALUE!</v>
      </c>
      <c r="Q366" s="33"/>
      <c r="R366" s="33"/>
      <c r="S366" s="33"/>
      <c r="T366" s="40">
        <f>IF(tblDonnées[[#This Row],[0,5% du dép]]&lt;5000,5000,IF(tblDonnées[[#This Row],[0,5% du dép]]&gt;50000,50000,tblDonnées[[#This Row],[0,5% du dép]]))</f>
        <v>5000</v>
      </c>
      <c r="U366" s="10">
        <f>ABS(tblDonnées[[#This Row],[MONTANT DEPASSEMENT]]*0.005)</f>
        <v>0</v>
      </c>
      <c r="V366" s="33"/>
      <c r="W366" s="33"/>
      <c r="X366" s="33"/>
      <c r="Y366" s="33"/>
      <c r="Z366" s="33"/>
    </row>
    <row r="367" spans="1:26" x14ac:dyDescent="0.25">
      <c r="A367" s="33"/>
      <c r="B367" s="12"/>
      <c r="C367" s="33"/>
      <c r="D367" s="41"/>
      <c r="H367" s="21"/>
      <c r="I367" s="33"/>
      <c r="J367" s="42"/>
      <c r="K367" s="43"/>
      <c r="L367" s="44"/>
      <c r="M36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67" s="38">
        <f>tblDonnées[[#This Row],[MONTANT OPERATION]]+tblDonnées[[#This Row],[POS  FUSIONNEE CPTE AVANT OP]]</f>
        <v>0</v>
      </c>
      <c r="O367" s="17" t="str">
        <f>IF(ISBLANK(tblDonnées[[#This Row],[MONTANT AUTO]]), "N/A", ABS(tblDonnées[[#This Row],[POS  FUSIONNEE CPTE APRES OP]])-ABS(tblDonnées[[#This Row],[MONTANT AUTO]]))</f>
        <v>N/A</v>
      </c>
      <c r="P367" s="39" t="e">
        <f>tblDonnées[[#This Row],[DEPASSEMENT TOTAL SUR AUTO
]]/-tblDonnées[[#This Row],[MONTANT AUTO]]</f>
        <v>#VALUE!</v>
      </c>
      <c r="Q367" s="33"/>
      <c r="R367" s="33"/>
      <c r="S367" s="33"/>
      <c r="T367" s="40">
        <f>IF(tblDonnées[[#This Row],[0,5% du dép]]&lt;5000,5000,IF(tblDonnées[[#This Row],[0,5% du dép]]&gt;50000,50000,tblDonnées[[#This Row],[0,5% du dép]]))</f>
        <v>5000</v>
      </c>
      <c r="U367" s="10">
        <f>ABS(tblDonnées[[#This Row],[MONTANT DEPASSEMENT]]*0.005)</f>
        <v>0</v>
      </c>
      <c r="V367" s="33"/>
      <c r="W367" s="33"/>
      <c r="X367" s="33"/>
      <c r="Y367" s="33"/>
      <c r="Z367" s="33"/>
    </row>
    <row r="368" spans="1:26" x14ac:dyDescent="0.25">
      <c r="A368" s="33"/>
      <c r="B368" s="12"/>
      <c r="C368" s="33"/>
      <c r="D368" s="41"/>
      <c r="H368" s="21"/>
      <c r="I368" s="33"/>
      <c r="J368" s="42"/>
      <c r="K368" s="43"/>
      <c r="L368" s="44"/>
      <c r="M36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68" s="38">
        <f>tblDonnées[[#This Row],[MONTANT OPERATION]]+tblDonnées[[#This Row],[POS  FUSIONNEE CPTE AVANT OP]]</f>
        <v>0</v>
      </c>
      <c r="O368" s="17" t="str">
        <f>IF(ISBLANK(tblDonnées[[#This Row],[MONTANT AUTO]]), "N/A", ABS(tblDonnées[[#This Row],[POS  FUSIONNEE CPTE APRES OP]])-ABS(tblDonnées[[#This Row],[MONTANT AUTO]]))</f>
        <v>N/A</v>
      </c>
      <c r="P368" s="39" t="e">
        <f>tblDonnées[[#This Row],[DEPASSEMENT TOTAL SUR AUTO
]]/-tblDonnées[[#This Row],[MONTANT AUTO]]</f>
        <v>#VALUE!</v>
      </c>
      <c r="Q368" s="33"/>
      <c r="R368" s="33"/>
      <c r="S368" s="33"/>
      <c r="T368" s="40">
        <f>IF(tblDonnées[[#This Row],[0,5% du dép]]&lt;5000,5000,IF(tblDonnées[[#This Row],[0,5% du dép]]&gt;50000,50000,tblDonnées[[#This Row],[0,5% du dép]]))</f>
        <v>5000</v>
      </c>
      <c r="U368" s="10">
        <f>ABS(tblDonnées[[#This Row],[MONTANT DEPASSEMENT]]*0.005)</f>
        <v>0</v>
      </c>
      <c r="V368" s="33"/>
      <c r="W368" s="33"/>
      <c r="X368" s="33"/>
      <c r="Y368" s="33"/>
      <c r="Z368" s="33"/>
    </row>
    <row r="369" spans="1:26" x14ac:dyDescent="0.25">
      <c r="A369" s="33"/>
      <c r="B369" s="12"/>
      <c r="C369" s="33"/>
      <c r="D369" s="41"/>
      <c r="H369" s="21"/>
      <c r="I369" s="33"/>
      <c r="J369" s="42"/>
      <c r="K369" s="43"/>
      <c r="L369" s="44"/>
      <c r="M36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69" s="38">
        <f>tblDonnées[[#This Row],[MONTANT OPERATION]]+tblDonnées[[#This Row],[POS  FUSIONNEE CPTE AVANT OP]]</f>
        <v>0</v>
      </c>
      <c r="O369" s="17" t="str">
        <f>IF(ISBLANK(tblDonnées[[#This Row],[MONTANT AUTO]]), "N/A", ABS(tblDonnées[[#This Row],[POS  FUSIONNEE CPTE APRES OP]])-ABS(tblDonnées[[#This Row],[MONTANT AUTO]]))</f>
        <v>N/A</v>
      </c>
      <c r="P369" s="39" t="e">
        <f>tblDonnées[[#This Row],[DEPASSEMENT TOTAL SUR AUTO
]]/-tblDonnées[[#This Row],[MONTANT AUTO]]</f>
        <v>#VALUE!</v>
      </c>
      <c r="Q369" s="33"/>
      <c r="R369" s="33"/>
      <c r="S369" s="33"/>
      <c r="T369" s="40">
        <f>IF(tblDonnées[[#This Row],[0,5% du dép]]&lt;5000,5000,IF(tblDonnées[[#This Row],[0,5% du dép]]&gt;50000,50000,tblDonnées[[#This Row],[0,5% du dép]]))</f>
        <v>5000</v>
      </c>
      <c r="U369" s="10">
        <f>ABS(tblDonnées[[#This Row],[MONTANT DEPASSEMENT]]*0.005)</f>
        <v>0</v>
      </c>
      <c r="V369" s="33"/>
      <c r="W369" s="33"/>
      <c r="X369" s="33"/>
      <c r="Y369" s="33"/>
      <c r="Z369" s="33"/>
    </row>
    <row r="370" spans="1:26" x14ac:dyDescent="0.25">
      <c r="A370" s="33"/>
      <c r="B370" s="12"/>
      <c r="C370" s="33"/>
      <c r="D370" s="41"/>
      <c r="H370" s="21"/>
      <c r="I370" s="33"/>
      <c r="J370" s="42"/>
      <c r="K370" s="43"/>
      <c r="L370" s="44"/>
      <c r="M37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70" s="38">
        <f>tblDonnées[[#This Row],[MONTANT OPERATION]]+tblDonnées[[#This Row],[POS  FUSIONNEE CPTE AVANT OP]]</f>
        <v>0</v>
      </c>
      <c r="O370" s="17" t="str">
        <f>IF(ISBLANK(tblDonnées[[#This Row],[MONTANT AUTO]]), "N/A", ABS(tblDonnées[[#This Row],[POS  FUSIONNEE CPTE APRES OP]])-ABS(tblDonnées[[#This Row],[MONTANT AUTO]]))</f>
        <v>N/A</v>
      </c>
      <c r="P370" s="39" t="e">
        <f>tblDonnées[[#This Row],[DEPASSEMENT TOTAL SUR AUTO
]]/-tblDonnées[[#This Row],[MONTANT AUTO]]</f>
        <v>#VALUE!</v>
      </c>
      <c r="Q370" s="33"/>
      <c r="R370" s="33"/>
      <c r="S370" s="33"/>
      <c r="T370" s="40">
        <f>IF(tblDonnées[[#This Row],[0,5% du dép]]&lt;5000,5000,IF(tblDonnées[[#This Row],[0,5% du dép]]&gt;50000,50000,tblDonnées[[#This Row],[0,5% du dép]]))</f>
        <v>5000</v>
      </c>
      <c r="U370" s="10">
        <f>ABS(tblDonnées[[#This Row],[MONTANT DEPASSEMENT]]*0.005)</f>
        <v>0</v>
      </c>
      <c r="V370" s="33"/>
      <c r="W370" s="33"/>
      <c r="X370" s="33"/>
      <c r="Y370" s="33"/>
      <c r="Z370" s="33"/>
    </row>
    <row r="371" spans="1:26" x14ac:dyDescent="0.25">
      <c r="A371" s="33"/>
      <c r="B371" s="12"/>
      <c r="C371" s="33"/>
      <c r="D371" s="41"/>
      <c r="H371" s="21"/>
      <c r="I371" s="33"/>
      <c r="J371" s="42"/>
      <c r="K371" s="43"/>
      <c r="L371" s="44"/>
      <c r="M37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71" s="38">
        <f>tblDonnées[[#This Row],[MONTANT OPERATION]]+tblDonnées[[#This Row],[POS  FUSIONNEE CPTE AVANT OP]]</f>
        <v>0</v>
      </c>
      <c r="O371" s="17" t="str">
        <f>IF(ISBLANK(tblDonnées[[#This Row],[MONTANT AUTO]]), "N/A", ABS(tblDonnées[[#This Row],[POS  FUSIONNEE CPTE APRES OP]])-ABS(tblDonnées[[#This Row],[MONTANT AUTO]]))</f>
        <v>N/A</v>
      </c>
      <c r="P371" s="39" t="e">
        <f>tblDonnées[[#This Row],[DEPASSEMENT TOTAL SUR AUTO
]]/-tblDonnées[[#This Row],[MONTANT AUTO]]</f>
        <v>#VALUE!</v>
      </c>
      <c r="Q371" s="33"/>
      <c r="R371" s="33"/>
      <c r="S371" s="33"/>
      <c r="T371" s="40">
        <f>IF(tblDonnées[[#This Row],[0,5% du dép]]&lt;5000,5000,IF(tblDonnées[[#This Row],[0,5% du dép]]&gt;50000,50000,tblDonnées[[#This Row],[0,5% du dép]]))</f>
        <v>5000</v>
      </c>
      <c r="U371" s="10">
        <f>ABS(tblDonnées[[#This Row],[MONTANT DEPASSEMENT]]*0.005)</f>
        <v>0</v>
      </c>
      <c r="V371" s="33"/>
      <c r="W371" s="33"/>
      <c r="X371" s="33"/>
      <c r="Y371" s="33"/>
      <c r="Z371" s="33"/>
    </row>
    <row r="372" spans="1:26" x14ac:dyDescent="0.25">
      <c r="A372" s="33"/>
      <c r="B372" s="12"/>
      <c r="C372" s="33"/>
      <c r="D372" s="41"/>
      <c r="H372" s="21"/>
      <c r="I372" s="33"/>
      <c r="J372" s="42"/>
      <c r="K372" s="43"/>
      <c r="L372" s="44"/>
      <c r="M37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72" s="38">
        <f>tblDonnées[[#This Row],[MONTANT OPERATION]]+tblDonnées[[#This Row],[POS  FUSIONNEE CPTE AVANT OP]]</f>
        <v>0</v>
      </c>
      <c r="O372" s="17" t="str">
        <f>IF(ISBLANK(tblDonnées[[#This Row],[MONTANT AUTO]]), "N/A", ABS(tblDonnées[[#This Row],[POS  FUSIONNEE CPTE APRES OP]])-ABS(tblDonnées[[#This Row],[MONTANT AUTO]]))</f>
        <v>N/A</v>
      </c>
      <c r="P372" s="39" t="e">
        <f>tblDonnées[[#This Row],[DEPASSEMENT TOTAL SUR AUTO
]]/-tblDonnées[[#This Row],[MONTANT AUTO]]</f>
        <v>#VALUE!</v>
      </c>
      <c r="Q372" s="33"/>
      <c r="R372" s="33"/>
      <c r="S372" s="33"/>
      <c r="T372" s="40">
        <f>IF(tblDonnées[[#This Row],[0,5% du dép]]&lt;5000,5000,IF(tblDonnées[[#This Row],[0,5% du dép]]&gt;50000,50000,tblDonnées[[#This Row],[0,5% du dép]]))</f>
        <v>5000</v>
      </c>
      <c r="U372" s="10">
        <f>ABS(tblDonnées[[#This Row],[MONTANT DEPASSEMENT]]*0.005)</f>
        <v>0</v>
      </c>
      <c r="V372" s="33"/>
      <c r="W372" s="33"/>
      <c r="X372" s="33"/>
      <c r="Y372" s="33"/>
      <c r="Z372" s="33"/>
    </row>
    <row r="373" spans="1:26" x14ac:dyDescent="0.25">
      <c r="A373" s="33"/>
      <c r="B373" s="12"/>
      <c r="C373" s="33"/>
      <c r="D373" s="41"/>
      <c r="H373" s="21"/>
      <c r="I373" s="33"/>
      <c r="J373" s="42"/>
      <c r="K373" s="43"/>
      <c r="L373" s="44"/>
      <c r="M37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73" s="38">
        <f>tblDonnées[[#This Row],[MONTANT OPERATION]]+tblDonnées[[#This Row],[POS  FUSIONNEE CPTE AVANT OP]]</f>
        <v>0</v>
      </c>
      <c r="O373" s="17" t="str">
        <f>IF(ISBLANK(tblDonnées[[#This Row],[MONTANT AUTO]]), "N/A", ABS(tblDonnées[[#This Row],[POS  FUSIONNEE CPTE APRES OP]])-ABS(tblDonnées[[#This Row],[MONTANT AUTO]]))</f>
        <v>N/A</v>
      </c>
      <c r="P373" s="39" t="e">
        <f>tblDonnées[[#This Row],[DEPASSEMENT TOTAL SUR AUTO
]]/-tblDonnées[[#This Row],[MONTANT AUTO]]</f>
        <v>#VALUE!</v>
      </c>
      <c r="Q373" s="33"/>
      <c r="R373" s="33"/>
      <c r="S373" s="33"/>
      <c r="T373" s="40">
        <f>IF(tblDonnées[[#This Row],[0,5% du dép]]&lt;5000,5000,IF(tblDonnées[[#This Row],[0,5% du dép]]&gt;50000,50000,tblDonnées[[#This Row],[0,5% du dép]]))</f>
        <v>5000</v>
      </c>
      <c r="U373" s="10">
        <f>ABS(tblDonnées[[#This Row],[MONTANT DEPASSEMENT]]*0.005)</f>
        <v>0</v>
      </c>
      <c r="V373" s="33"/>
      <c r="W373" s="33"/>
      <c r="X373" s="33"/>
      <c r="Y373" s="33"/>
      <c r="Z373" s="33"/>
    </row>
    <row r="374" spans="1:26" x14ac:dyDescent="0.25">
      <c r="A374" s="33"/>
      <c r="B374" s="12"/>
      <c r="C374" s="33"/>
      <c r="D374" s="41"/>
      <c r="H374" s="21"/>
      <c r="I374" s="33"/>
      <c r="J374" s="42"/>
      <c r="K374" s="43"/>
      <c r="L374" s="44"/>
      <c r="M37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74" s="38">
        <f>tblDonnées[[#This Row],[MONTANT OPERATION]]+tblDonnées[[#This Row],[POS  FUSIONNEE CPTE AVANT OP]]</f>
        <v>0</v>
      </c>
      <c r="O374" s="17" t="str">
        <f>IF(ISBLANK(tblDonnées[[#This Row],[MONTANT AUTO]]), "N/A", ABS(tblDonnées[[#This Row],[POS  FUSIONNEE CPTE APRES OP]])-ABS(tblDonnées[[#This Row],[MONTANT AUTO]]))</f>
        <v>N/A</v>
      </c>
      <c r="P374" s="39" t="e">
        <f>tblDonnées[[#This Row],[DEPASSEMENT TOTAL SUR AUTO
]]/-tblDonnées[[#This Row],[MONTANT AUTO]]</f>
        <v>#VALUE!</v>
      </c>
      <c r="Q374" s="33"/>
      <c r="R374" s="33"/>
      <c r="S374" s="33"/>
      <c r="T374" s="40">
        <f>IF(tblDonnées[[#This Row],[0,5% du dép]]&lt;5000,5000,IF(tblDonnées[[#This Row],[0,5% du dép]]&gt;50000,50000,tblDonnées[[#This Row],[0,5% du dép]]))</f>
        <v>5000</v>
      </c>
      <c r="U374" s="10">
        <f>ABS(tblDonnées[[#This Row],[MONTANT DEPASSEMENT]]*0.005)</f>
        <v>0</v>
      </c>
      <c r="V374" s="33"/>
      <c r="W374" s="33"/>
      <c r="X374" s="33"/>
      <c r="Y374" s="33"/>
      <c r="Z374" s="33"/>
    </row>
    <row r="375" spans="1:26" x14ac:dyDescent="0.25">
      <c r="A375" s="33"/>
      <c r="B375" s="12"/>
      <c r="C375" s="33"/>
      <c r="D375" s="41"/>
      <c r="H375" s="21"/>
      <c r="I375" s="33"/>
      <c r="J375" s="42"/>
      <c r="K375" s="43"/>
      <c r="L375" s="44"/>
      <c r="M37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75" s="38">
        <f>tblDonnées[[#This Row],[MONTANT OPERATION]]+tblDonnées[[#This Row],[POS  FUSIONNEE CPTE AVANT OP]]</f>
        <v>0</v>
      </c>
      <c r="O375" s="17" t="str">
        <f>IF(ISBLANK(tblDonnées[[#This Row],[MONTANT AUTO]]), "N/A", ABS(tblDonnées[[#This Row],[POS  FUSIONNEE CPTE APRES OP]])-ABS(tblDonnées[[#This Row],[MONTANT AUTO]]))</f>
        <v>N/A</v>
      </c>
      <c r="P375" s="39" t="e">
        <f>tblDonnées[[#This Row],[DEPASSEMENT TOTAL SUR AUTO
]]/-tblDonnées[[#This Row],[MONTANT AUTO]]</f>
        <v>#VALUE!</v>
      </c>
      <c r="Q375" s="33"/>
      <c r="R375" s="33"/>
      <c r="S375" s="33"/>
      <c r="T375" s="40">
        <f>IF(tblDonnées[[#This Row],[0,5% du dép]]&lt;5000,5000,IF(tblDonnées[[#This Row],[0,5% du dép]]&gt;50000,50000,tblDonnées[[#This Row],[0,5% du dép]]))</f>
        <v>5000</v>
      </c>
      <c r="U375" s="10">
        <f>ABS(tblDonnées[[#This Row],[MONTANT DEPASSEMENT]]*0.005)</f>
        <v>0</v>
      </c>
      <c r="V375" s="33"/>
      <c r="W375" s="33"/>
      <c r="X375" s="33"/>
      <c r="Y375" s="33"/>
      <c r="Z375" s="33"/>
    </row>
    <row r="376" spans="1:26" x14ac:dyDescent="0.25">
      <c r="A376" s="33"/>
      <c r="B376" s="12"/>
      <c r="C376" s="33"/>
      <c r="D376" s="41"/>
      <c r="H376" s="21"/>
      <c r="I376" s="33"/>
      <c r="J376" s="42"/>
      <c r="K376" s="43"/>
      <c r="L376" s="44"/>
      <c r="M37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76" s="38">
        <f>tblDonnées[[#This Row],[MONTANT OPERATION]]+tblDonnées[[#This Row],[POS  FUSIONNEE CPTE AVANT OP]]</f>
        <v>0</v>
      </c>
      <c r="O376" s="17" t="str">
        <f>IF(ISBLANK(tblDonnées[[#This Row],[MONTANT AUTO]]), "N/A", ABS(tblDonnées[[#This Row],[POS  FUSIONNEE CPTE APRES OP]])-ABS(tblDonnées[[#This Row],[MONTANT AUTO]]))</f>
        <v>N/A</v>
      </c>
      <c r="P376" s="39" t="e">
        <f>tblDonnées[[#This Row],[DEPASSEMENT TOTAL SUR AUTO
]]/-tblDonnées[[#This Row],[MONTANT AUTO]]</f>
        <v>#VALUE!</v>
      </c>
      <c r="Q376" s="33"/>
      <c r="R376" s="33"/>
      <c r="S376" s="33"/>
      <c r="T376" s="40">
        <f>IF(tblDonnées[[#This Row],[0,5% du dép]]&lt;5000,5000,IF(tblDonnées[[#This Row],[0,5% du dép]]&gt;50000,50000,tblDonnées[[#This Row],[0,5% du dép]]))</f>
        <v>5000</v>
      </c>
      <c r="U376" s="10">
        <f>ABS(tblDonnées[[#This Row],[MONTANT DEPASSEMENT]]*0.005)</f>
        <v>0</v>
      </c>
      <c r="V376" s="33"/>
      <c r="W376" s="33"/>
      <c r="X376" s="33"/>
      <c r="Y376" s="33"/>
      <c r="Z376" s="33"/>
    </row>
    <row r="377" spans="1:26" x14ac:dyDescent="0.25">
      <c r="A377" s="33"/>
      <c r="B377" s="12"/>
      <c r="C377" s="33"/>
      <c r="D377" s="41"/>
      <c r="H377" s="21"/>
      <c r="I377" s="33"/>
      <c r="J377" s="42"/>
      <c r="K377" s="43"/>
      <c r="L377" s="44"/>
      <c r="M37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77" s="38">
        <f>tblDonnées[[#This Row],[MONTANT OPERATION]]+tblDonnées[[#This Row],[POS  FUSIONNEE CPTE AVANT OP]]</f>
        <v>0</v>
      </c>
      <c r="O377" s="17" t="str">
        <f>IF(ISBLANK(tblDonnées[[#This Row],[MONTANT AUTO]]), "N/A", ABS(tblDonnées[[#This Row],[POS  FUSIONNEE CPTE APRES OP]])-ABS(tblDonnées[[#This Row],[MONTANT AUTO]]))</f>
        <v>N/A</v>
      </c>
      <c r="P377" s="39" t="e">
        <f>tblDonnées[[#This Row],[DEPASSEMENT TOTAL SUR AUTO
]]/-tblDonnées[[#This Row],[MONTANT AUTO]]</f>
        <v>#VALUE!</v>
      </c>
      <c r="Q377" s="33"/>
      <c r="R377" s="33"/>
      <c r="S377" s="33"/>
      <c r="T377" s="40">
        <f>IF(tblDonnées[[#This Row],[0,5% du dép]]&lt;5000,5000,IF(tblDonnées[[#This Row],[0,5% du dép]]&gt;50000,50000,tblDonnées[[#This Row],[0,5% du dép]]))</f>
        <v>5000</v>
      </c>
      <c r="U377" s="10">
        <f>ABS(tblDonnées[[#This Row],[MONTANT DEPASSEMENT]]*0.005)</f>
        <v>0</v>
      </c>
      <c r="V377" s="33"/>
      <c r="W377" s="33"/>
      <c r="X377" s="33"/>
      <c r="Y377" s="33"/>
      <c r="Z377" s="33"/>
    </row>
    <row r="378" spans="1:26" x14ac:dyDescent="0.25">
      <c r="A378" s="33"/>
      <c r="B378" s="12"/>
      <c r="C378" s="33"/>
      <c r="D378" s="41"/>
      <c r="H378" s="21"/>
      <c r="I378" s="33"/>
      <c r="J378" s="42"/>
      <c r="K378" s="43"/>
      <c r="L378" s="44"/>
      <c r="M37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78" s="38">
        <f>tblDonnées[[#This Row],[MONTANT OPERATION]]+tblDonnées[[#This Row],[POS  FUSIONNEE CPTE AVANT OP]]</f>
        <v>0</v>
      </c>
      <c r="O378" s="17" t="str">
        <f>IF(ISBLANK(tblDonnées[[#This Row],[MONTANT AUTO]]), "N/A", ABS(tblDonnées[[#This Row],[POS  FUSIONNEE CPTE APRES OP]])-ABS(tblDonnées[[#This Row],[MONTANT AUTO]]))</f>
        <v>N/A</v>
      </c>
      <c r="P378" s="39" t="e">
        <f>tblDonnées[[#This Row],[DEPASSEMENT TOTAL SUR AUTO
]]/-tblDonnées[[#This Row],[MONTANT AUTO]]</f>
        <v>#VALUE!</v>
      </c>
      <c r="Q378" s="33"/>
      <c r="R378" s="33"/>
      <c r="S378" s="33"/>
      <c r="T378" s="40">
        <f>IF(tblDonnées[[#This Row],[0,5% du dép]]&lt;5000,5000,IF(tblDonnées[[#This Row],[0,5% du dép]]&gt;50000,50000,tblDonnées[[#This Row],[0,5% du dép]]))</f>
        <v>5000</v>
      </c>
      <c r="U378" s="10">
        <f>ABS(tblDonnées[[#This Row],[MONTANT DEPASSEMENT]]*0.005)</f>
        <v>0</v>
      </c>
      <c r="V378" s="33"/>
      <c r="W378" s="33"/>
      <c r="X378" s="33"/>
      <c r="Y378" s="33"/>
      <c r="Z378" s="33"/>
    </row>
    <row r="379" spans="1:26" x14ac:dyDescent="0.25">
      <c r="A379" s="33"/>
      <c r="B379" s="12"/>
      <c r="C379" s="33"/>
      <c r="D379" s="41"/>
      <c r="H379" s="21"/>
      <c r="I379" s="33"/>
      <c r="J379" s="42"/>
      <c r="K379" s="43"/>
      <c r="L379" s="44"/>
      <c r="M37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79" s="38">
        <f>tblDonnées[[#This Row],[MONTANT OPERATION]]+tblDonnées[[#This Row],[POS  FUSIONNEE CPTE AVANT OP]]</f>
        <v>0</v>
      </c>
      <c r="O379" s="17" t="str">
        <f>IF(ISBLANK(tblDonnées[[#This Row],[MONTANT AUTO]]), "N/A", ABS(tblDonnées[[#This Row],[POS  FUSIONNEE CPTE APRES OP]])-ABS(tblDonnées[[#This Row],[MONTANT AUTO]]))</f>
        <v>N/A</v>
      </c>
      <c r="P379" s="39" t="e">
        <f>tblDonnées[[#This Row],[DEPASSEMENT TOTAL SUR AUTO
]]/-tblDonnées[[#This Row],[MONTANT AUTO]]</f>
        <v>#VALUE!</v>
      </c>
      <c r="Q379" s="33"/>
      <c r="R379" s="33"/>
      <c r="S379" s="33"/>
      <c r="T379" s="40">
        <f>IF(tblDonnées[[#This Row],[0,5% du dép]]&lt;5000,5000,IF(tblDonnées[[#This Row],[0,5% du dép]]&gt;50000,50000,tblDonnées[[#This Row],[0,5% du dép]]))</f>
        <v>5000</v>
      </c>
      <c r="U379" s="10">
        <f>ABS(tblDonnées[[#This Row],[MONTANT DEPASSEMENT]]*0.005)</f>
        <v>0</v>
      </c>
      <c r="V379" s="33"/>
      <c r="W379" s="33"/>
      <c r="X379" s="33"/>
      <c r="Y379" s="33"/>
      <c r="Z379" s="33"/>
    </row>
    <row r="380" spans="1:26" x14ac:dyDescent="0.25">
      <c r="A380" s="33"/>
      <c r="B380" s="12"/>
      <c r="C380" s="33"/>
      <c r="D380" s="41"/>
      <c r="H380" s="21"/>
      <c r="I380" s="33"/>
      <c r="J380" s="42"/>
      <c r="K380" s="43"/>
      <c r="L380" s="44"/>
      <c r="M38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80" s="38">
        <f>tblDonnées[[#This Row],[MONTANT OPERATION]]+tblDonnées[[#This Row],[POS  FUSIONNEE CPTE AVANT OP]]</f>
        <v>0</v>
      </c>
      <c r="O380" s="17" t="str">
        <f>IF(ISBLANK(tblDonnées[[#This Row],[MONTANT AUTO]]), "N/A", ABS(tblDonnées[[#This Row],[POS  FUSIONNEE CPTE APRES OP]])-ABS(tblDonnées[[#This Row],[MONTANT AUTO]]))</f>
        <v>N/A</v>
      </c>
      <c r="P380" s="39" t="e">
        <f>tblDonnées[[#This Row],[DEPASSEMENT TOTAL SUR AUTO
]]/-tblDonnées[[#This Row],[MONTANT AUTO]]</f>
        <v>#VALUE!</v>
      </c>
      <c r="Q380" s="33"/>
      <c r="R380" s="33"/>
      <c r="S380" s="33"/>
      <c r="T380" s="40">
        <f>IF(tblDonnées[[#This Row],[0,5% du dép]]&lt;5000,5000,IF(tblDonnées[[#This Row],[0,5% du dép]]&gt;50000,50000,tblDonnées[[#This Row],[0,5% du dép]]))</f>
        <v>5000</v>
      </c>
      <c r="U380" s="10">
        <f>ABS(tblDonnées[[#This Row],[MONTANT DEPASSEMENT]]*0.005)</f>
        <v>0</v>
      </c>
      <c r="V380" s="33"/>
      <c r="W380" s="33"/>
      <c r="X380" s="33"/>
      <c r="Y380" s="33"/>
      <c r="Z380" s="33"/>
    </row>
    <row r="381" spans="1:26" x14ac:dyDescent="0.25">
      <c r="A381" s="33"/>
      <c r="B381" s="12"/>
      <c r="C381" s="33"/>
      <c r="D381" s="41"/>
      <c r="H381" s="21"/>
      <c r="I381" s="33"/>
      <c r="J381" s="42"/>
      <c r="K381" s="43"/>
      <c r="L381" s="44"/>
      <c r="M38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81" s="38">
        <f>tblDonnées[[#This Row],[MONTANT OPERATION]]+tblDonnées[[#This Row],[POS  FUSIONNEE CPTE AVANT OP]]</f>
        <v>0</v>
      </c>
      <c r="O381" s="17" t="str">
        <f>IF(ISBLANK(tblDonnées[[#This Row],[MONTANT AUTO]]), "N/A", ABS(tblDonnées[[#This Row],[POS  FUSIONNEE CPTE APRES OP]])-ABS(tblDonnées[[#This Row],[MONTANT AUTO]]))</f>
        <v>N/A</v>
      </c>
      <c r="P381" s="39" t="e">
        <f>tblDonnées[[#This Row],[DEPASSEMENT TOTAL SUR AUTO
]]/-tblDonnées[[#This Row],[MONTANT AUTO]]</f>
        <v>#VALUE!</v>
      </c>
      <c r="Q381" s="33"/>
      <c r="R381" s="33"/>
      <c r="S381" s="33"/>
      <c r="T381" s="40">
        <f>IF(tblDonnées[[#This Row],[0,5% du dép]]&lt;5000,5000,IF(tblDonnées[[#This Row],[0,5% du dép]]&gt;50000,50000,tblDonnées[[#This Row],[0,5% du dép]]))</f>
        <v>5000</v>
      </c>
      <c r="U381" s="10">
        <f>ABS(tblDonnées[[#This Row],[MONTANT DEPASSEMENT]]*0.005)</f>
        <v>0</v>
      </c>
      <c r="V381" s="33"/>
      <c r="W381" s="33"/>
      <c r="X381" s="33"/>
      <c r="Y381" s="33"/>
      <c r="Z381" s="33"/>
    </row>
    <row r="382" spans="1:26" x14ac:dyDescent="0.25">
      <c r="A382" s="33"/>
      <c r="B382" s="12"/>
      <c r="C382" s="33"/>
      <c r="D382" s="41"/>
      <c r="H382" s="21"/>
      <c r="I382" s="33"/>
      <c r="J382" s="42"/>
      <c r="K382" s="43"/>
      <c r="L382" s="44"/>
      <c r="M38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82" s="38">
        <f>tblDonnées[[#This Row],[MONTANT OPERATION]]+tblDonnées[[#This Row],[POS  FUSIONNEE CPTE AVANT OP]]</f>
        <v>0</v>
      </c>
      <c r="O382" s="17" t="str">
        <f>IF(ISBLANK(tblDonnées[[#This Row],[MONTANT AUTO]]), "N/A", ABS(tblDonnées[[#This Row],[POS  FUSIONNEE CPTE APRES OP]])-ABS(tblDonnées[[#This Row],[MONTANT AUTO]]))</f>
        <v>N/A</v>
      </c>
      <c r="P382" s="39" t="e">
        <f>tblDonnées[[#This Row],[DEPASSEMENT TOTAL SUR AUTO
]]/-tblDonnées[[#This Row],[MONTANT AUTO]]</f>
        <v>#VALUE!</v>
      </c>
      <c r="Q382" s="33"/>
      <c r="R382" s="33"/>
      <c r="S382" s="33"/>
      <c r="T382" s="40">
        <f>IF(tblDonnées[[#This Row],[0,5% du dép]]&lt;5000,5000,IF(tblDonnées[[#This Row],[0,5% du dép]]&gt;50000,50000,tblDonnées[[#This Row],[0,5% du dép]]))</f>
        <v>5000</v>
      </c>
      <c r="U382" s="10">
        <f>ABS(tblDonnées[[#This Row],[MONTANT DEPASSEMENT]]*0.005)</f>
        <v>0</v>
      </c>
      <c r="V382" s="33"/>
      <c r="W382" s="33"/>
      <c r="X382" s="33"/>
      <c r="Y382" s="33"/>
      <c r="Z382" s="33"/>
    </row>
    <row r="383" spans="1:26" x14ac:dyDescent="0.25">
      <c r="A383" s="33"/>
      <c r="B383" s="12"/>
      <c r="C383" s="33"/>
      <c r="D383" s="41"/>
      <c r="H383" s="21"/>
      <c r="I383" s="33"/>
      <c r="J383" s="42"/>
      <c r="K383" s="43"/>
      <c r="L383" s="44"/>
      <c r="M38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83" s="38">
        <f>tblDonnées[[#This Row],[MONTANT OPERATION]]+tblDonnées[[#This Row],[POS  FUSIONNEE CPTE AVANT OP]]</f>
        <v>0</v>
      </c>
      <c r="O383" s="17" t="str">
        <f>IF(ISBLANK(tblDonnées[[#This Row],[MONTANT AUTO]]), "N/A", ABS(tblDonnées[[#This Row],[POS  FUSIONNEE CPTE APRES OP]])-ABS(tblDonnées[[#This Row],[MONTANT AUTO]]))</f>
        <v>N/A</v>
      </c>
      <c r="P383" s="39" t="e">
        <f>tblDonnées[[#This Row],[DEPASSEMENT TOTAL SUR AUTO
]]/-tblDonnées[[#This Row],[MONTANT AUTO]]</f>
        <v>#VALUE!</v>
      </c>
      <c r="Q383" s="33"/>
      <c r="R383" s="33"/>
      <c r="S383" s="33"/>
      <c r="T383" s="40">
        <f>IF(tblDonnées[[#This Row],[0,5% du dép]]&lt;5000,5000,IF(tblDonnées[[#This Row],[0,5% du dép]]&gt;50000,50000,tblDonnées[[#This Row],[0,5% du dép]]))</f>
        <v>5000</v>
      </c>
      <c r="U383" s="10">
        <f>ABS(tblDonnées[[#This Row],[MONTANT DEPASSEMENT]]*0.005)</f>
        <v>0</v>
      </c>
      <c r="V383" s="33"/>
      <c r="W383" s="33"/>
      <c r="X383" s="33"/>
      <c r="Y383" s="33"/>
      <c r="Z383" s="33"/>
    </row>
    <row r="384" spans="1:26" x14ac:dyDescent="0.25">
      <c r="A384" s="33"/>
      <c r="B384" s="12"/>
      <c r="C384" s="33"/>
      <c r="D384" s="41"/>
      <c r="H384" s="21"/>
      <c r="I384" s="33"/>
      <c r="J384" s="42"/>
      <c r="K384" s="43"/>
      <c r="L384" s="44"/>
      <c r="M38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84" s="38">
        <f>tblDonnées[[#This Row],[MONTANT OPERATION]]+tblDonnées[[#This Row],[POS  FUSIONNEE CPTE AVANT OP]]</f>
        <v>0</v>
      </c>
      <c r="O384" s="17" t="str">
        <f>IF(ISBLANK(tblDonnées[[#This Row],[MONTANT AUTO]]), "N/A", ABS(tblDonnées[[#This Row],[POS  FUSIONNEE CPTE APRES OP]])-ABS(tblDonnées[[#This Row],[MONTANT AUTO]]))</f>
        <v>N/A</v>
      </c>
      <c r="P384" s="39" t="e">
        <f>tblDonnées[[#This Row],[DEPASSEMENT TOTAL SUR AUTO
]]/-tblDonnées[[#This Row],[MONTANT AUTO]]</f>
        <v>#VALUE!</v>
      </c>
      <c r="Q384" s="33"/>
      <c r="R384" s="33"/>
      <c r="S384" s="33"/>
      <c r="T384" s="40">
        <f>IF(tblDonnées[[#This Row],[0,5% du dép]]&lt;5000,5000,IF(tblDonnées[[#This Row],[0,5% du dép]]&gt;50000,50000,tblDonnées[[#This Row],[0,5% du dép]]))</f>
        <v>5000</v>
      </c>
      <c r="U384" s="10">
        <f>ABS(tblDonnées[[#This Row],[MONTANT DEPASSEMENT]]*0.005)</f>
        <v>0</v>
      </c>
      <c r="V384" s="33"/>
      <c r="W384" s="33"/>
      <c r="X384" s="33"/>
      <c r="Y384" s="33"/>
      <c r="Z384" s="33"/>
    </row>
    <row r="385" spans="1:26" x14ac:dyDescent="0.25">
      <c r="A385" s="33"/>
      <c r="B385" s="12"/>
      <c r="C385" s="33"/>
      <c r="D385" s="41"/>
      <c r="H385" s="21"/>
      <c r="I385" s="33"/>
      <c r="J385" s="42"/>
      <c r="K385" s="43"/>
      <c r="L385" s="44"/>
      <c r="M38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85" s="38">
        <f>tblDonnées[[#This Row],[MONTANT OPERATION]]+tblDonnées[[#This Row],[POS  FUSIONNEE CPTE AVANT OP]]</f>
        <v>0</v>
      </c>
      <c r="O385" s="17" t="str">
        <f>IF(ISBLANK(tblDonnées[[#This Row],[MONTANT AUTO]]), "N/A", ABS(tblDonnées[[#This Row],[POS  FUSIONNEE CPTE APRES OP]])-ABS(tblDonnées[[#This Row],[MONTANT AUTO]]))</f>
        <v>N/A</v>
      </c>
      <c r="P385" s="39" t="e">
        <f>tblDonnées[[#This Row],[DEPASSEMENT TOTAL SUR AUTO
]]/-tblDonnées[[#This Row],[MONTANT AUTO]]</f>
        <v>#VALUE!</v>
      </c>
      <c r="Q385" s="33"/>
      <c r="R385" s="33"/>
      <c r="S385" s="33"/>
      <c r="T385" s="40">
        <f>IF(tblDonnées[[#This Row],[0,5% du dép]]&lt;5000,5000,IF(tblDonnées[[#This Row],[0,5% du dép]]&gt;50000,50000,tblDonnées[[#This Row],[0,5% du dép]]))</f>
        <v>5000</v>
      </c>
      <c r="U385" s="10">
        <f>ABS(tblDonnées[[#This Row],[MONTANT DEPASSEMENT]]*0.005)</f>
        <v>0</v>
      </c>
      <c r="V385" s="33"/>
      <c r="W385" s="33"/>
      <c r="X385" s="33"/>
      <c r="Y385" s="33"/>
      <c r="Z385" s="33"/>
    </row>
    <row r="386" spans="1:26" x14ac:dyDescent="0.25">
      <c r="A386" s="33"/>
      <c r="B386" s="12"/>
      <c r="C386" s="33"/>
      <c r="D386" s="41"/>
      <c r="H386" s="21"/>
      <c r="I386" s="33"/>
      <c r="J386" s="42"/>
      <c r="K386" s="43"/>
      <c r="L386" s="44"/>
      <c r="M38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86" s="38">
        <f>tblDonnées[[#This Row],[MONTANT OPERATION]]+tblDonnées[[#This Row],[POS  FUSIONNEE CPTE AVANT OP]]</f>
        <v>0</v>
      </c>
      <c r="O386" s="17" t="str">
        <f>IF(ISBLANK(tblDonnées[[#This Row],[MONTANT AUTO]]), "N/A", ABS(tblDonnées[[#This Row],[POS  FUSIONNEE CPTE APRES OP]])-ABS(tblDonnées[[#This Row],[MONTANT AUTO]]))</f>
        <v>N/A</v>
      </c>
      <c r="P386" s="39" t="e">
        <f>tblDonnées[[#This Row],[DEPASSEMENT TOTAL SUR AUTO
]]/-tblDonnées[[#This Row],[MONTANT AUTO]]</f>
        <v>#VALUE!</v>
      </c>
      <c r="Q386" s="33"/>
      <c r="R386" s="33"/>
      <c r="S386" s="33"/>
      <c r="T386" s="40">
        <f>IF(tblDonnées[[#This Row],[0,5% du dép]]&lt;5000,5000,IF(tblDonnées[[#This Row],[0,5% du dép]]&gt;50000,50000,tblDonnées[[#This Row],[0,5% du dép]]))</f>
        <v>5000</v>
      </c>
      <c r="U386" s="10">
        <f>ABS(tblDonnées[[#This Row],[MONTANT DEPASSEMENT]]*0.005)</f>
        <v>0</v>
      </c>
      <c r="V386" s="33"/>
      <c r="W386" s="33"/>
      <c r="X386" s="33"/>
      <c r="Y386" s="33"/>
      <c r="Z386" s="33"/>
    </row>
    <row r="387" spans="1:26" x14ac:dyDescent="0.25">
      <c r="A387" s="33"/>
      <c r="B387" s="12"/>
      <c r="C387" s="33"/>
      <c r="D387" s="41"/>
      <c r="H387" s="21"/>
      <c r="I387" s="33"/>
      <c r="J387" s="42"/>
      <c r="K387" s="43"/>
      <c r="L387" s="44"/>
      <c r="M38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87" s="38">
        <f>tblDonnées[[#This Row],[MONTANT OPERATION]]+tblDonnées[[#This Row],[POS  FUSIONNEE CPTE AVANT OP]]</f>
        <v>0</v>
      </c>
      <c r="O387" s="17" t="str">
        <f>IF(ISBLANK(tblDonnées[[#This Row],[MONTANT AUTO]]), "N/A", ABS(tblDonnées[[#This Row],[POS  FUSIONNEE CPTE APRES OP]])-ABS(tblDonnées[[#This Row],[MONTANT AUTO]]))</f>
        <v>N/A</v>
      </c>
      <c r="P387" s="39" t="e">
        <f>tblDonnées[[#This Row],[DEPASSEMENT TOTAL SUR AUTO
]]/-tblDonnées[[#This Row],[MONTANT AUTO]]</f>
        <v>#VALUE!</v>
      </c>
      <c r="Q387" s="33"/>
      <c r="R387" s="33"/>
      <c r="S387" s="33"/>
      <c r="T387" s="40">
        <f>IF(tblDonnées[[#This Row],[0,5% du dép]]&lt;5000,5000,IF(tblDonnées[[#This Row],[0,5% du dép]]&gt;50000,50000,tblDonnées[[#This Row],[0,5% du dép]]))</f>
        <v>5000</v>
      </c>
      <c r="U387" s="10">
        <f>ABS(tblDonnées[[#This Row],[MONTANT DEPASSEMENT]]*0.005)</f>
        <v>0</v>
      </c>
      <c r="V387" s="33"/>
      <c r="W387" s="33"/>
      <c r="X387" s="33"/>
      <c r="Y387" s="33"/>
      <c r="Z387" s="33"/>
    </row>
    <row r="388" spans="1:26" x14ac:dyDescent="0.25">
      <c r="A388" s="33"/>
      <c r="B388" s="12"/>
      <c r="C388" s="33"/>
      <c r="D388" s="41"/>
      <c r="H388" s="21"/>
      <c r="I388" s="33"/>
      <c r="J388" s="42"/>
      <c r="K388" s="43"/>
      <c r="L388" s="44"/>
      <c r="M38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88" s="38">
        <f>tblDonnées[[#This Row],[MONTANT OPERATION]]+tblDonnées[[#This Row],[POS  FUSIONNEE CPTE AVANT OP]]</f>
        <v>0</v>
      </c>
      <c r="O388" s="17" t="str">
        <f>IF(ISBLANK(tblDonnées[[#This Row],[MONTANT AUTO]]), "N/A", ABS(tblDonnées[[#This Row],[POS  FUSIONNEE CPTE APRES OP]])-ABS(tblDonnées[[#This Row],[MONTANT AUTO]]))</f>
        <v>N/A</v>
      </c>
      <c r="P388" s="39" t="e">
        <f>tblDonnées[[#This Row],[DEPASSEMENT TOTAL SUR AUTO
]]/-tblDonnées[[#This Row],[MONTANT AUTO]]</f>
        <v>#VALUE!</v>
      </c>
      <c r="Q388" s="33"/>
      <c r="R388" s="33"/>
      <c r="S388" s="33"/>
      <c r="T388" s="40">
        <f>IF(tblDonnées[[#This Row],[0,5% du dép]]&lt;5000,5000,IF(tblDonnées[[#This Row],[0,5% du dép]]&gt;50000,50000,tblDonnées[[#This Row],[0,5% du dép]]))</f>
        <v>5000</v>
      </c>
      <c r="U388" s="10">
        <f>ABS(tblDonnées[[#This Row],[MONTANT DEPASSEMENT]]*0.005)</f>
        <v>0</v>
      </c>
      <c r="V388" s="33"/>
      <c r="W388" s="33"/>
      <c r="X388" s="33"/>
      <c r="Y388" s="33"/>
      <c r="Z388" s="33"/>
    </row>
    <row r="389" spans="1:26" x14ac:dyDescent="0.25">
      <c r="A389" s="33"/>
      <c r="B389" s="12"/>
      <c r="C389" s="33"/>
      <c r="D389" s="41"/>
      <c r="H389" s="21"/>
      <c r="I389" s="33"/>
      <c r="J389" s="42"/>
      <c r="K389" s="43"/>
      <c r="L389" s="44"/>
      <c r="M38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89" s="38">
        <f>tblDonnées[[#This Row],[MONTANT OPERATION]]+tblDonnées[[#This Row],[POS  FUSIONNEE CPTE AVANT OP]]</f>
        <v>0</v>
      </c>
      <c r="O389" s="17" t="str">
        <f>IF(ISBLANK(tblDonnées[[#This Row],[MONTANT AUTO]]), "N/A", ABS(tblDonnées[[#This Row],[POS  FUSIONNEE CPTE APRES OP]])-ABS(tblDonnées[[#This Row],[MONTANT AUTO]]))</f>
        <v>N/A</v>
      </c>
      <c r="P389" s="39" t="e">
        <f>tblDonnées[[#This Row],[DEPASSEMENT TOTAL SUR AUTO
]]/-tblDonnées[[#This Row],[MONTANT AUTO]]</f>
        <v>#VALUE!</v>
      </c>
      <c r="Q389" s="33"/>
      <c r="R389" s="33"/>
      <c r="S389" s="33"/>
      <c r="T389" s="40">
        <f>IF(tblDonnées[[#This Row],[0,5% du dép]]&lt;5000,5000,IF(tblDonnées[[#This Row],[0,5% du dép]]&gt;50000,50000,tblDonnées[[#This Row],[0,5% du dép]]))</f>
        <v>5000</v>
      </c>
      <c r="U389" s="10">
        <f>ABS(tblDonnées[[#This Row],[MONTANT DEPASSEMENT]]*0.005)</f>
        <v>0</v>
      </c>
      <c r="V389" s="33"/>
      <c r="W389" s="33"/>
      <c r="X389" s="33"/>
      <c r="Y389" s="33"/>
      <c r="Z389" s="33"/>
    </row>
    <row r="390" spans="1:26" x14ac:dyDescent="0.25">
      <c r="A390" s="33"/>
      <c r="B390" s="12"/>
      <c r="C390" s="33"/>
      <c r="D390" s="41"/>
      <c r="H390" s="21"/>
      <c r="I390" s="33"/>
      <c r="J390" s="42"/>
      <c r="K390" s="43"/>
      <c r="L390" s="44"/>
      <c r="M39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90" s="38">
        <f>tblDonnées[[#This Row],[MONTANT OPERATION]]+tblDonnées[[#This Row],[POS  FUSIONNEE CPTE AVANT OP]]</f>
        <v>0</v>
      </c>
      <c r="O390" s="17" t="str">
        <f>IF(ISBLANK(tblDonnées[[#This Row],[MONTANT AUTO]]), "N/A", ABS(tblDonnées[[#This Row],[POS  FUSIONNEE CPTE APRES OP]])-ABS(tblDonnées[[#This Row],[MONTANT AUTO]]))</f>
        <v>N/A</v>
      </c>
      <c r="P390" s="39" t="e">
        <f>tblDonnées[[#This Row],[DEPASSEMENT TOTAL SUR AUTO
]]/-tblDonnées[[#This Row],[MONTANT AUTO]]</f>
        <v>#VALUE!</v>
      </c>
      <c r="Q390" s="33"/>
      <c r="R390" s="33"/>
      <c r="S390" s="33"/>
      <c r="T390" s="40">
        <f>IF(tblDonnées[[#This Row],[0,5% du dép]]&lt;5000,5000,IF(tblDonnées[[#This Row],[0,5% du dép]]&gt;50000,50000,tblDonnées[[#This Row],[0,5% du dép]]))</f>
        <v>5000</v>
      </c>
      <c r="U390" s="10">
        <f>ABS(tblDonnées[[#This Row],[MONTANT DEPASSEMENT]]*0.005)</f>
        <v>0</v>
      </c>
      <c r="V390" s="33"/>
      <c r="W390" s="33"/>
      <c r="X390" s="33"/>
      <c r="Y390" s="33"/>
      <c r="Z390" s="33"/>
    </row>
    <row r="391" spans="1:26" x14ac:dyDescent="0.25">
      <c r="A391" s="33"/>
      <c r="B391" s="12"/>
      <c r="C391" s="33"/>
      <c r="D391" s="41"/>
      <c r="H391" s="21"/>
      <c r="I391" s="33"/>
      <c r="J391" s="42"/>
      <c r="K391" s="43"/>
      <c r="L391" s="44"/>
      <c r="M39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91" s="38">
        <f>tblDonnées[[#This Row],[MONTANT OPERATION]]+tblDonnées[[#This Row],[POS  FUSIONNEE CPTE AVANT OP]]</f>
        <v>0</v>
      </c>
      <c r="O391" s="17" t="str">
        <f>IF(ISBLANK(tblDonnées[[#This Row],[MONTANT AUTO]]), "N/A", ABS(tblDonnées[[#This Row],[POS  FUSIONNEE CPTE APRES OP]])-ABS(tblDonnées[[#This Row],[MONTANT AUTO]]))</f>
        <v>N/A</v>
      </c>
      <c r="P391" s="39" t="e">
        <f>tblDonnées[[#This Row],[DEPASSEMENT TOTAL SUR AUTO
]]/-tblDonnées[[#This Row],[MONTANT AUTO]]</f>
        <v>#VALUE!</v>
      </c>
      <c r="Q391" s="33"/>
      <c r="R391" s="33"/>
      <c r="S391" s="33"/>
      <c r="T391" s="40">
        <f>IF(tblDonnées[[#This Row],[0,5% du dép]]&lt;5000,5000,IF(tblDonnées[[#This Row],[0,5% du dép]]&gt;50000,50000,tblDonnées[[#This Row],[0,5% du dép]]))</f>
        <v>5000</v>
      </c>
      <c r="U391" s="10">
        <f>ABS(tblDonnées[[#This Row],[MONTANT DEPASSEMENT]]*0.005)</f>
        <v>0</v>
      </c>
      <c r="V391" s="33"/>
      <c r="W391" s="33"/>
      <c r="X391" s="33"/>
      <c r="Y391" s="33"/>
      <c r="Z391" s="33"/>
    </row>
    <row r="392" spans="1:26" x14ac:dyDescent="0.25">
      <c r="A392" s="33"/>
      <c r="B392" s="12"/>
      <c r="C392" s="33"/>
      <c r="D392" s="41"/>
      <c r="H392" s="21"/>
      <c r="I392" s="33"/>
      <c r="J392" s="42"/>
      <c r="K392" s="43"/>
      <c r="L392" s="44"/>
      <c r="M39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92" s="38">
        <f>tblDonnées[[#This Row],[MONTANT OPERATION]]+tblDonnées[[#This Row],[POS  FUSIONNEE CPTE AVANT OP]]</f>
        <v>0</v>
      </c>
      <c r="O392" s="17" t="str">
        <f>IF(ISBLANK(tblDonnées[[#This Row],[MONTANT AUTO]]), "N/A", ABS(tblDonnées[[#This Row],[POS  FUSIONNEE CPTE APRES OP]])-ABS(tblDonnées[[#This Row],[MONTANT AUTO]]))</f>
        <v>N/A</v>
      </c>
      <c r="P392" s="39" t="e">
        <f>tblDonnées[[#This Row],[DEPASSEMENT TOTAL SUR AUTO
]]/-tblDonnées[[#This Row],[MONTANT AUTO]]</f>
        <v>#VALUE!</v>
      </c>
      <c r="Q392" s="33"/>
      <c r="R392" s="33"/>
      <c r="S392" s="33"/>
      <c r="T392" s="40">
        <f>IF(tblDonnées[[#This Row],[0,5% du dép]]&lt;5000,5000,IF(tblDonnées[[#This Row],[0,5% du dép]]&gt;50000,50000,tblDonnées[[#This Row],[0,5% du dép]]))</f>
        <v>5000</v>
      </c>
      <c r="U392" s="10">
        <f>ABS(tblDonnées[[#This Row],[MONTANT DEPASSEMENT]]*0.005)</f>
        <v>0</v>
      </c>
      <c r="V392" s="33"/>
      <c r="W392" s="33"/>
      <c r="X392" s="33"/>
      <c r="Y392" s="33"/>
      <c r="Z392" s="33"/>
    </row>
    <row r="393" spans="1:26" x14ac:dyDescent="0.25">
      <c r="A393" s="33"/>
      <c r="B393" s="12"/>
      <c r="C393" s="33"/>
      <c r="D393" s="41"/>
      <c r="H393" s="21"/>
      <c r="I393" s="33"/>
      <c r="J393" s="42"/>
      <c r="K393" s="43"/>
      <c r="L393" s="44"/>
      <c r="M39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93" s="38">
        <f>tblDonnées[[#This Row],[MONTANT OPERATION]]+tblDonnées[[#This Row],[POS  FUSIONNEE CPTE AVANT OP]]</f>
        <v>0</v>
      </c>
      <c r="O393" s="17" t="str">
        <f>IF(ISBLANK(tblDonnées[[#This Row],[MONTANT AUTO]]), "N/A", ABS(tblDonnées[[#This Row],[POS  FUSIONNEE CPTE APRES OP]])-ABS(tblDonnées[[#This Row],[MONTANT AUTO]]))</f>
        <v>N/A</v>
      </c>
      <c r="P393" s="39" t="e">
        <f>tblDonnées[[#This Row],[DEPASSEMENT TOTAL SUR AUTO
]]/-tblDonnées[[#This Row],[MONTANT AUTO]]</f>
        <v>#VALUE!</v>
      </c>
      <c r="Q393" s="33"/>
      <c r="R393" s="33"/>
      <c r="S393" s="33"/>
      <c r="T393" s="40">
        <f>IF(tblDonnées[[#This Row],[0,5% du dép]]&lt;5000,5000,IF(tblDonnées[[#This Row],[0,5% du dép]]&gt;50000,50000,tblDonnées[[#This Row],[0,5% du dép]]))</f>
        <v>5000</v>
      </c>
      <c r="U393" s="10">
        <f>ABS(tblDonnées[[#This Row],[MONTANT DEPASSEMENT]]*0.005)</f>
        <v>0</v>
      </c>
      <c r="V393" s="33"/>
      <c r="W393" s="33"/>
      <c r="X393" s="33"/>
      <c r="Y393" s="33"/>
      <c r="Z393" s="33"/>
    </row>
    <row r="394" spans="1:26" x14ac:dyDescent="0.25">
      <c r="A394" s="33"/>
      <c r="B394" s="12"/>
      <c r="C394" s="33"/>
      <c r="D394" s="41"/>
      <c r="H394" s="21"/>
      <c r="I394" s="33"/>
      <c r="J394" s="42"/>
      <c r="K394" s="43"/>
      <c r="L394" s="44"/>
      <c r="M39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94" s="38">
        <f>tblDonnées[[#This Row],[MONTANT OPERATION]]+tblDonnées[[#This Row],[POS  FUSIONNEE CPTE AVANT OP]]</f>
        <v>0</v>
      </c>
      <c r="O394" s="17" t="str">
        <f>IF(ISBLANK(tblDonnées[[#This Row],[MONTANT AUTO]]), "N/A", ABS(tblDonnées[[#This Row],[POS  FUSIONNEE CPTE APRES OP]])-ABS(tblDonnées[[#This Row],[MONTANT AUTO]]))</f>
        <v>N/A</v>
      </c>
      <c r="P394" s="39" t="e">
        <f>tblDonnées[[#This Row],[DEPASSEMENT TOTAL SUR AUTO
]]/-tblDonnées[[#This Row],[MONTANT AUTO]]</f>
        <v>#VALUE!</v>
      </c>
      <c r="Q394" s="33"/>
      <c r="R394" s="33"/>
      <c r="S394" s="33"/>
      <c r="T394" s="40">
        <f>IF(tblDonnées[[#This Row],[0,5% du dép]]&lt;5000,5000,IF(tblDonnées[[#This Row],[0,5% du dép]]&gt;50000,50000,tblDonnées[[#This Row],[0,5% du dép]]))</f>
        <v>5000</v>
      </c>
      <c r="U394" s="10">
        <f>ABS(tblDonnées[[#This Row],[MONTANT DEPASSEMENT]]*0.005)</f>
        <v>0</v>
      </c>
      <c r="V394" s="33"/>
      <c r="W394" s="33"/>
      <c r="X394" s="33"/>
      <c r="Y394" s="33"/>
      <c r="Z394" s="33"/>
    </row>
    <row r="395" spans="1:26" x14ac:dyDescent="0.25">
      <c r="A395" s="33"/>
      <c r="B395" s="12"/>
      <c r="C395" s="33"/>
      <c r="D395" s="41"/>
      <c r="H395" s="21"/>
      <c r="I395" s="33"/>
      <c r="J395" s="42"/>
      <c r="K395" s="43"/>
      <c r="L395" s="44"/>
      <c r="M39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95" s="38">
        <f>tblDonnées[[#This Row],[MONTANT OPERATION]]+tblDonnées[[#This Row],[POS  FUSIONNEE CPTE AVANT OP]]</f>
        <v>0</v>
      </c>
      <c r="O395" s="17" t="str">
        <f>IF(ISBLANK(tblDonnées[[#This Row],[MONTANT AUTO]]), "N/A", ABS(tblDonnées[[#This Row],[POS  FUSIONNEE CPTE APRES OP]])-ABS(tblDonnées[[#This Row],[MONTANT AUTO]]))</f>
        <v>N/A</v>
      </c>
      <c r="P395" s="39" t="e">
        <f>tblDonnées[[#This Row],[DEPASSEMENT TOTAL SUR AUTO
]]/-tblDonnées[[#This Row],[MONTANT AUTO]]</f>
        <v>#VALUE!</v>
      </c>
      <c r="Q395" s="33"/>
      <c r="R395" s="33"/>
      <c r="S395" s="33"/>
      <c r="T395" s="40">
        <f>IF(tblDonnées[[#This Row],[0,5% du dép]]&lt;5000,5000,IF(tblDonnées[[#This Row],[0,5% du dép]]&gt;50000,50000,tblDonnées[[#This Row],[0,5% du dép]]))</f>
        <v>5000</v>
      </c>
      <c r="U395" s="10">
        <f>ABS(tblDonnées[[#This Row],[MONTANT DEPASSEMENT]]*0.005)</f>
        <v>0</v>
      </c>
      <c r="V395" s="33"/>
      <c r="W395" s="33"/>
      <c r="X395" s="33"/>
      <c r="Y395" s="33"/>
      <c r="Z395" s="33"/>
    </row>
    <row r="396" spans="1:26" x14ac:dyDescent="0.25">
      <c r="A396" s="33"/>
      <c r="B396" s="12"/>
      <c r="C396" s="33"/>
      <c r="D396" s="41"/>
      <c r="H396" s="21"/>
      <c r="I396" s="33"/>
      <c r="J396" s="42"/>
      <c r="K396" s="43"/>
      <c r="L396" s="44"/>
      <c r="M39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96" s="38">
        <f>tblDonnées[[#This Row],[MONTANT OPERATION]]+tblDonnées[[#This Row],[POS  FUSIONNEE CPTE AVANT OP]]</f>
        <v>0</v>
      </c>
      <c r="O396" s="17" t="str">
        <f>IF(ISBLANK(tblDonnées[[#This Row],[MONTANT AUTO]]), "N/A", ABS(tblDonnées[[#This Row],[POS  FUSIONNEE CPTE APRES OP]])-ABS(tblDonnées[[#This Row],[MONTANT AUTO]]))</f>
        <v>N/A</v>
      </c>
      <c r="P396" s="39" t="e">
        <f>tblDonnées[[#This Row],[DEPASSEMENT TOTAL SUR AUTO
]]/-tblDonnées[[#This Row],[MONTANT AUTO]]</f>
        <v>#VALUE!</v>
      </c>
      <c r="Q396" s="33"/>
      <c r="R396" s="33"/>
      <c r="S396" s="33"/>
      <c r="T396" s="40">
        <f>IF(tblDonnées[[#This Row],[0,5% du dép]]&lt;5000,5000,IF(tblDonnées[[#This Row],[0,5% du dép]]&gt;50000,50000,tblDonnées[[#This Row],[0,5% du dép]]))</f>
        <v>5000</v>
      </c>
      <c r="U396" s="10">
        <f>ABS(tblDonnées[[#This Row],[MONTANT DEPASSEMENT]]*0.005)</f>
        <v>0</v>
      </c>
      <c r="V396" s="33"/>
      <c r="W396" s="33"/>
      <c r="X396" s="33"/>
      <c r="Y396" s="33"/>
      <c r="Z396" s="33"/>
    </row>
    <row r="397" spans="1:26" x14ac:dyDescent="0.25">
      <c r="A397" s="33"/>
      <c r="B397" s="12"/>
      <c r="C397" s="33"/>
      <c r="D397" s="41"/>
      <c r="H397" s="21"/>
      <c r="I397" s="33"/>
      <c r="J397" s="42"/>
      <c r="K397" s="43"/>
      <c r="L397" s="44"/>
      <c r="M39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97" s="38">
        <f>tblDonnées[[#This Row],[MONTANT OPERATION]]+tblDonnées[[#This Row],[POS  FUSIONNEE CPTE AVANT OP]]</f>
        <v>0</v>
      </c>
      <c r="O397" s="17" t="str">
        <f>IF(ISBLANK(tblDonnées[[#This Row],[MONTANT AUTO]]), "N/A", ABS(tblDonnées[[#This Row],[POS  FUSIONNEE CPTE APRES OP]])-ABS(tblDonnées[[#This Row],[MONTANT AUTO]]))</f>
        <v>N/A</v>
      </c>
      <c r="P397" s="39" t="e">
        <f>tblDonnées[[#This Row],[DEPASSEMENT TOTAL SUR AUTO
]]/-tblDonnées[[#This Row],[MONTANT AUTO]]</f>
        <v>#VALUE!</v>
      </c>
      <c r="Q397" s="33"/>
      <c r="R397" s="33"/>
      <c r="S397" s="33"/>
      <c r="T397" s="40">
        <f>IF(tblDonnées[[#This Row],[0,5% du dép]]&lt;5000,5000,IF(tblDonnées[[#This Row],[0,5% du dép]]&gt;50000,50000,tblDonnées[[#This Row],[0,5% du dép]]))</f>
        <v>5000</v>
      </c>
      <c r="U397" s="10">
        <f>ABS(tblDonnées[[#This Row],[MONTANT DEPASSEMENT]]*0.005)</f>
        <v>0</v>
      </c>
      <c r="V397" s="33"/>
      <c r="W397" s="33"/>
      <c r="X397" s="33"/>
      <c r="Y397" s="33"/>
      <c r="Z397" s="33"/>
    </row>
    <row r="398" spans="1:26" x14ac:dyDescent="0.25">
      <c r="A398" s="33"/>
      <c r="B398" s="12"/>
      <c r="C398" s="33"/>
      <c r="D398" s="41"/>
      <c r="H398" s="21"/>
      <c r="I398" s="33"/>
      <c r="J398" s="42"/>
      <c r="K398" s="43"/>
      <c r="L398" s="44"/>
      <c r="M39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98" s="38">
        <f>tblDonnées[[#This Row],[MONTANT OPERATION]]+tblDonnées[[#This Row],[POS  FUSIONNEE CPTE AVANT OP]]</f>
        <v>0</v>
      </c>
      <c r="O398" s="17" t="str">
        <f>IF(ISBLANK(tblDonnées[[#This Row],[MONTANT AUTO]]), "N/A", ABS(tblDonnées[[#This Row],[POS  FUSIONNEE CPTE APRES OP]])-ABS(tblDonnées[[#This Row],[MONTANT AUTO]]))</f>
        <v>N/A</v>
      </c>
      <c r="P398" s="39" t="e">
        <f>tblDonnées[[#This Row],[DEPASSEMENT TOTAL SUR AUTO
]]/-tblDonnées[[#This Row],[MONTANT AUTO]]</f>
        <v>#VALUE!</v>
      </c>
      <c r="Q398" s="33"/>
      <c r="R398" s="33"/>
      <c r="S398" s="33"/>
      <c r="T398" s="40">
        <f>IF(tblDonnées[[#This Row],[0,5% du dép]]&lt;5000,5000,IF(tblDonnées[[#This Row],[0,5% du dép]]&gt;50000,50000,tblDonnées[[#This Row],[0,5% du dép]]))</f>
        <v>5000</v>
      </c>
      <c r="U398" s="10">
        <f>ABS(tblDonnées[[#This Row],[MONTANT DEPASSEMENT]]*0.005)</f>
        <v>0</v>
      </c>
      <c r="V398" s="33"/>
      <c r="W398" s="33"/>
      <c r="X398" s="33"/>
      <c r="Y398" s="33"/>
      <c r="Z398" s="33"/>
    </row>
    <row r="399" spans="1:26" x14ac:dyDescent="0.25">
      <c r="A399" s="33"/>
      <c r="B399" s="12"/>
      <c r="C399" s="33"/>
      <c r="D399" s="41"/>
      <c r="H399" s="21"/>
      <c r="I399" s="33"/>
      <c r="J399" s="42"/>
      <c r="K399" s="43"/>
      <c r="L399" s="44"/>
      <c r="M39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399" s="38">
        <f>tblDonnées[[#This Row],[MONTANT OPERATION]]+tblDonnées[[#This Row],[POS  FUSIONNEE CPTE AVANT OP]]</f>
        <v>0</v>
      </c>
      <c r="O399" s="17" t="str">
        <f>IF(ISBLANK(tblDonnées[[#This Row],[MONTANT AUTO]]), "N/A", ABS(tblDonnées[[#This Row],[POS  FUSIONNEE CPTE APRES OP]])-ABS(tblDonnées[[#This Row],[MONTANT AUTO]]))</f>
        <v>N/A</v>
      </c>
      <c r="P399" s="39" t="e">
        <f>tblDonnées[[#This Row],[DEPASSEMENT TOTAL SUR AUTO
]]/-tblDonnées[[#This Row],[MONTANT AUTO]]</f>
        <v>#VALUE!</v>
      </c>
      <c r="Q399" s="33"/>
      <c r="R399" s="33"/>
      <c r="S399" s="33"/>
      <c r="T399" s="40">
        <f>IF(tblDonnées[[#This Row],[0,5% du dép]]&lt;5000,5000,IF(tblDonnées[[#This Row],[0,5% du dép]]&gt;50000,50000,tblDonnées[[#This Row],[0,5% du dép]]))</f>
        <v>5000</v>
      </c>
      <c r="U399" s="10">
        <f>ABS(tblDonnées[[#This Row],[MONTANT DEPASSEMENT]]*0.005)</f>
        <v>0</v>
      </c>
      <c r="V399" s="33"/>
      <c r="W399" s="33"/>
      <c r="X399" s="33"/>
      <c r="Y399" s="33"/>
      <c r="Z399" s="33"/>
    </row>
    <row r="400" spans="1:26" x14ac:dyDescent="0.25">
      <c r="A400" s="33"/>
      <c r="B400" s="12"/>
      <c r="C400" s="33"/>
      <c r="D400" s="41"/>
      <c r="H400" s="21"/>
      <c r="I400" s="33"/>
      <c r="J400" s="42"/>
      <c r="K400" s="43"/>
      <c r="L400" s="44"/>
      <c r="M40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00" s="38">
        <f>tblDonnées[[#This Row],[MONTANT OPERATION]]+tblDonnées[[#This Row],[POS  FUSIONNEE CPTE AVANT OP]]</f>
        <v>0</v>
      </c>
      <c r="O400" s="17" t="str">
        <f>IF(ISBLANK(tblDonnées[[#This Row],[MONTANT AUTO]]), "N/A", ABS(tblDonnées[[#This Row],[POS  FUSIONNEE CPTE APRES OP]])-ABS(tblDonnées[[#This Row],[MONTANT AUTO]]))</f>
        <v>N/A</v>
      </c>
      <c r="P400" s="39" t="e">
        <f>tblDonnées[[#This Row],[DEPASSEMENT TOTAL SUR AUTO
]]/-tblDonnées[[#This Row],[MONTANT AUTO]]</f>
        <v>#VALUE!</v>
      </c>
      <c r="Q400" s="33"/>
      <c r="R400" s="33"/>
      <c r="S400" s="33"/>
      <c r="T400" s="40">
        <f>IF(tblDonnées[[#This Row],[0,5% du dép]]&lt;5000,5000,IF(tblDonnées[[#This Row],[0,5% du dép]]&gt;50000,50000,tblDonnées[[#This Row],[0,5% du dép]]))</f>
        <v>5000</v>
      </c>
      <c r="U400" s="10">
        <f>ABS(tblDonnées[[#This Row],[MONTANT DEPASSEMENT]]*0.005)</f>
        <v>0</v>
      </c>
      <c r="V400" s="33"/>
      <c r="W400" s="33"/>
      <c r="X400" s="33"/>
      <c r="Y400" s="33"/>
      <c r="Z400" s="33"/>
    </row>
    <row r="401" spans="1:26" x14ac:dyDescent="0.25">
      <c r="A401" s="33"/>
      <c r="B401" s="12"/>
      <c r="C401" s="33"/>
      <c r="D401" s="41"/>
      <c r="H401" s="21"/>
      <c r="I401" s="33"/>
      <c r="J401" s="42"/>
      <c r="K401" s="43"/>
      <c r="L401" s="44"/>
      <c r="M40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01" s="38">
        <f>tblDonnées[[#This Row],[MONTANT OPERATION]]+tblDonnées[[#This Row],[POS  FUSIONNEE CPTE AVANT OP]]</f>
        <v>0</v>
      </c>
      <c r="O401" s="17" t="str">
        <f>IF(ISBLANK(tblDonnées[[#This Row],[MONTANT AUTO]]), "N/A", ABS(tblDonnées[[#This Row],[POS  FUSIONNEE CPTE APRES OP]])-ABS(tblDonnées[[#This Row],[MONTANT AUTO]]))</f>
        <v>N/A</v>
      </c>
      <c r="P401" s="39" t="e">
        <f>tblDonnées[[#This Row],[DEPASSEMENT TOTAL SUR AUTO
]]/-tblDonnées[[#This Row],[MONTANT AUTO]]</f>
        <v>#VALUE!</v>
      </c>
      <c r="Q401" s="33"/>
      <c r="R401" s="33"/>
      <c r="S401" s="33"/>
      <c r="T401" s="40">
        <f>IF(tblDonnées[[#This Row],[0,5% du dép]]&lt;5000,5000,IF(tblDonnées[[#This Row],[0,5% du dép]]&gt;50000,50000,tblDonnées[[#This Row],[0,5% du dép]]))</f>
        <v>5000</v>
      </c>
      <c r="U401" s="10">
        <f>ABS(tblDonnées[[#This Row],[MONTANT DEPASSEMENT]]*0.005)</f>
        <v>0</v>
      </c>
      <c r="V401" s="33"/>
      <c r="W401" s="33"/>
      <c r="X401" s="33"/>
      <c r="Y401" s="33"/>
      <c r="Z401" s="33"/>
    </row>
    <row r="402" spans="1:26" x14ac:dyDescent="0.25">
      <c r="A402" s="33"/>
      <c r="B402" s="12"/>
      <c r="C402" s="33"/>
      <c r="D402" s="41"/>
      <c r="H402" s="21"/>
      <c r="I402" s="33"/>
      <c r="J402" s="42"/>
      <c r="K402" s="43"/>
      <c r="L402" s="44"/>
      <c r="M40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02" s="38">
        <f>tblDonnées[[#This Row],[MONTANT OPERATION]]+tblDonnées[[#This Row],[POS  FUSIONNEE CPTE AVANT OP]]</f>
        <v>0</v>
      </c>
      <c r="O402" s="17" t="str">
        <f>IF(ISBLANK(tblDonnées[[#This Row],[MONTANT AUTO]]), "N/A", ABS(tblDonnées[[#This Row],[POS  FUSIONNEE CPTE APRES OP]])-ABS(tblDonnées[[#This Row],[MONTANT AUTO]]))</f>
        <v>N/A</v>
      </c>
      <c r="P402" s="39" t="e">
        <f>tblDonnées[[#This Row],[DEPASSEMENT TOTAL SUR AUTO
]]/-tblDonnées[[#This Row],[MONTANT AUTO]]</f>
        <v>#VALUE!</v>
      </c>
      <c r="Q402" s="33"/>
      <c r="R402" s="33"/>
      <c r="S402" s="33"/>
      <c r="T402" s="40">
        <f>IF(tblDonnées[[#This Row],[0,5% du dép]]&lt;5000,5000,IF(tblDonnées[[#This Row],[0,5% du dép]]&gt;50000,50000,tblDonnées[[#This Row],[0,5% du dép]]))</f>
        <v>5000</v>
      </c>
      <c r="U402" s="10">
        <f>ABS(tblDonnées[[#This Row],[MONTANT DEPASSEMENT]]*0.005)</f>
        <v>0</v>
      </c>
      <c r="V402" s="33"/>
      <c r="W402" s="33"/>
      <c r="X402" s="33"/>
      <c r="Y402" s="33"/>
      <c r="Z402" s="33"/>
    </row>
    <row r="403" spans="1:26" x14ac:dyDescent="0.25">
      <c r="A403" s="33"/>
      <c r="B403" s="12"/>
      <c r="C403" s="33"/>
      <c r="D403" s="41"/>
      <c r="H403" s="21"/>
      <c r="I403" s="33"/>
      <c r="J403" s="42"/>
      <c r="K403" s="43"/>
      <c r="L403" s="44"/>
      <c r="M40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03" s="38">
        <f>tblDonnées[[#This Row],[MONTANT OPERATION]]+tblDonnées[[#This Row],[POS  FUSIONNEE CPTE AVANT OP]]</f>
        <v>0</v>
      </c>
      <c r="O403" s="17" t="str">
        <f>IF(ISBLANK(tblDonnées[[#This Row],[MONTANT AUTO]]), "N/A", ABS(tblDonnées[[#This Row],[POS  FUSIONNEE CPTE APRES OP]])-ABS(tblDonnées[[#This Row],[MONTANT AUTO]]))</f>
        <v>N/A</v>
      </c>
      <c r="P403" s="39" t="e">
        <f>tblDonnées[[#This Row],[DEPASSEMENT TOTAL SUR AUTO
]]/-tblDonnées[[#This Row],[MONTANT AUTO]]</f>
        <v>#VALUE!</v>
      </c>
      <c r="Q403" s="33"/>
      <c r="R403" s="33"/>
      <c r="S403" s="33"/>
      <c r="T403" s="40">
        <f>IF(tblDonnées[[#This Row],[0,5% du dép]]&lt;5000,5000,IF(tblDonnées[[#This Row],[0,5% du dép]]&gt;50000,50000,tblDonnées[[#This Row],[0,5% du dép]]))</f>
        <v>5000</v>
      </c>
      <c r="U403" s="10">
        <f>ABS(tblDonnées[[#This Row],[MONTANT DEPASSEMENT]]*0.005)</f>
        <v>0</v>
      </c>
      <c r="V403" s="33"/>
      <c r="W403" s="33"/>
      <c r="X403" s="33"/>
      <c r="Y403" s="33"/>
      <c r="Z403" s="33"/>
    </row>
    <row r="404" spans="1:26" x14ac:dyDescent="0.25">
      <c r="A404" s="33"/>
      <c r="B404" s="12"/>
      <c r="C404" s="33"/>
      <c r="D404" s="41"/>
      <c r="E404" s="58"/>
      <c r="F404" s="21"/>
      <c r="H404" s="21"/>
      <c r="I404" s="33"/>
      <c r="J404" s="42"/>
      <c r="K404" s="43"/>
      <c r="L404" s="44"/>
      <c r="M40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04" s="38">
        <f>tblDonnées[[#This Row],[MONTANT OPERATION]]+tblDonnées[[#This Row],[POS  FUSIONNEE CPTE AVANT OP]]</f>
        <v>0</v>
      </c>
      <c r="O404" s="17" t="str">
        <f>IF(ISBLANK(tblDonnées[[#This Row],[MONTANT AUTO]]), "N/A", ABS(tblDonnées[[#This Row],[POS  FUSIONNEE CPTE APRES OP]])-ABS(tblDonnées[[#This Row],[MONTANT AUTO]]))</f>
        <v>N/A</v>
      </c>
      <c r="P404" s="39" t="e">
        <f>tblDonnées[[#This Row],[DEPASSEMENT TOTAL SUR AUTO
]]/-tblDonnées[[#This Row],[MONTANT AUTO]]</f>
        <v>#VALUE!</v>
      </c>
      <c r="Q404" s="33"/>
      <c r="R404" s="33"/>
      <c r="S404" s="33"/>
      <c r="T404" s="40">
        <f>IF(tblDonnées[[#This Row],[0,5% du dép]]&lt;5000,5000,IF(tblDonnées[[#This Row],[0,5% du dép]]&gt;50000,50000,tblDonnées[[#This Row],[0,5% du dép]]))</f>
        <v>5000</v>
      </c>
      <c r="U404" s="10">
        <f>ABS(tblDonnées[[#This Row],[MONTANT DEPASSEMENT]]*0.005)</f>
        <v>0</v>
      </c>
      <c r="V404" s="33"/>
      <c r="W404" s="33"/>
      <c r="X404" s="33"/>
      <c r="Y404" s="33"/>
      <c r="Z404" s="33"/>
    </row>
    <row r="405" spans="1:26" x14ac:dyDescent="0.25">
      <c r="A405" s="33"/>
      <c r="B405" s="12"/>
      <c r="C405" s="33"/>
      <c r="D405" s="41"/>
      <c r="H405" s="21"/>
      <c r="I405" s="33"/>
      <c r="J405" s="42"/>
      <c r="K405" s="43"/>
      <c r="L405" s="44"/>
      <c r="M40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05" s="38">
        <f>tblDonnées[[#This Row],[MONTANT OPERATION]]+tblDonnées[[#This Row],[POS  FUSIONNEE CPTE AVANT OP]]</f>
        <v>0</v>
      </c>
      <c r="O405" s="17" t="str">
        <f>IF(ISBLANK(tblDonnées[[#This Row],[MONTANT AUTO]]), "N/A", ABS(tblDonnées[[#This Row],[POS  FUSIONNEE CPTE APRES OP]])-ABS(tblDonnées[[#This Row],[MONTANT AUTO]]))</f>
        <v>N/A</v>
      </c>
      <c r="P405" s="39" t="e">
        <f>tblDonnées[[#This Row],[DEPASSEMENT TOTAL SUR AUTO
]]/-tblDonnées[[#This Row],[MONTANT AUTO]]</f>
        <v>#VALUE!</v>
      </c>
      <c r="Q405" s="33"/>
      <c r="R405" s="33"/>
      <c r="S405" s="33"/>
      <c r="T405" s="40">
        <f>IF(tblDonnées[[#This Row],[0,5% du dép]]&lt;5000,5000,IF(tblDonnées[[#This Row],[0,5% du dép]]&gt;50000,50000,tblDonnées[[#This Row],[0,5% du dép]]))</f>
        <v>5000</v>
      </c>
      <c r="U405" s="10">
        <f>ABS(tblDonnées[[#This Row],[MONTANT DEPASSEMENT]]*0.005)</f>
        <v>0</v>
      </c>
      <c r="V405" s="33"/>
      <c r="W405" s="33"/>
      <c r="X405" s="33"/>
      <c r="Y405" s="33"/>
      <c r="Z405" s="33"/>
    </row>
    <row r="406" spans="1:26" x14ac:dyDescent="0.25">
      <c r="A406" s="33"/>
      <c r="B406" s="12"/>
      <c r="C406" s="33"/>
      <c r="D406" s="41"/>
      <c r="H406" s="21"/>
      <c r="I406" s="33"/>
      <c r="J406" s="42"/>
      <c r="K406" s="43"/>
      <c r="L406" s="44"/>
      <c r="M40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06" s="38">
        <f>tblDonnées[[#This Row],[MONTANT OPERATION]]+tblDonnées[[#This Row],[POS  FUSIONNEE CPTE AVANT OP]]</f>
        <v>0</v>
      </c>
      <c r="O406" s="17" t="str">
        <f>IF(ISBLANK(tblDonnées[[#This Row],[MONTANT AUTO]]), "N/A", ABS(tblDonnées[[#This Row],[POS  FUSIONNEE CPTE APRES OP]])-ABS(tblDonnées[[#This Row],[MONTANT AUTO]]))</f>
        <v>N/A</v>
      </c>
      <c r="P406" s="39" t="e">
        <f>tblDonnées[[#This Row],[DEPASSEMENT TOTAL SUR AUTO
]]/-tblDonnées[[#This Row],[MONTANT AUTO]]</f>
        <v>#VALUE!</v>
      </c>
      <c r="Q406" s="33"/>
      <c r="R406" s="33"/>
      <c r="S406" s="33"/>
      <c r="T406" s="40">
        <f>IF(tblDonnées[[#This Row],[0,5% du dép]]&lt;5000,5000,IF(tblDonnées[[#This Row],[0,5% du dép]]&gt;50000,50000,tblDonnées[[#This Row],[0,5% du dép]]))</f>
        <v>5000</v>
      </c>
      <c r="U406" s="10">
        <f>ABS(tblDonnées[[#This Row],[MONTANT DEPASSEMENT]]*0.005)</f>
        <v>0</v>
      </c>
      <c r="V406" s="33"/>
      <c r="W406" s="33"/>
      <c r="X406" s="33"/>
      <c r="Y406" s="33"/>
      <c r="Z406" s="33"/>
    </row>
    <row r="407" spans="1:26" x14ac:dyDescent="0.25">
      <c r="A407" s="33"/>
      <c r="B407" s="12"/>
      <c r="C407" s="33"/>
      <c r="D407" s="41"/>
      <c r="H407" s="21"/>
      <c r="I407" s="33"/>
      <c r="J407" s="42"/>
      <c r="K407" s="43"/>
      <c r="L407" s="44"/>
      <c r="M40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07" s="38">
        <f>tblDonnées[[#This Row],[MONTANT OPERATION]]+tblDonnées[[#This Row],[POS  FUSIONNEE CPTE AVANT OP]]</f>
        <v>0</v>
      </c>
      <c r="O407" s="17" t="str">
        <f>IF(ISBLANK(tblDonnées[[#This Row],[MONTANT AUTO]]), "N/A", ABS(tblDonnées[[#This Row],[POS  FUSIONNEE CPTE APRES OP]])-ABS(tblDonnées[[#This Row],[MONTANT AUTO]]))</f>
        <v>N/A</v>
      </c>
      <c r="P407" s="39" t="e">
        <f>tblDonnées[[#This Row],[DEPASSEMENT TOTAL SUR AUTO
]]/-tblDonnées[[#This Row],[MONTANT AUTO]]</f>
        <v>#VALUE!</v>
      </c>
      <c r="Q407" s="33"/>
      <c r="R407" s="33"/>
      <c r="S407" s="33"/>
      <c r="T407" s="40">
        <f>IF(tblDonnées[[#This Row],[0,5% du dép]]&lt;5000,5000,IF(tblDonnées[[#This Row],[0,5% du dép]]&gt;50000,50000,tblDonnées[[#This Row],[0,5% du dép]]))</f>
        <v>5000</v>
      </c>
      <c r="U407" s="10">
        <f>ABS(tblDonnées[[#This Row],[MONTANT DEPASSEMENT]]*0.005)</f>
        <v>0</v>
      </c>
      <c r="V407" s="33"/>
      <c r="W407" s="33"/>
      <c r="X407" s="33"/>
      <c r="Y407" s="33"/>
      <c r="Z407" s="33"/>
    </row>
    <row r="408" spans="1:26" x14ac:dyDescent="0.25">
      <c r="A408" s="33"/>
      <c r="B408" s="12"/>
      <c r="C408" s="33"/>
      <c r="D408" s="41"/>
      <c r="H408" s="21"/>
      <c r="I408" s="33"/>
      <c r="J408" s="42"/>
      <c r="K408" s="43"/>
      <c r="L408" s="44"/>
      <c r="M40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08" s="38">
        <f>tblDonnées[[#This Row],[MONTANT OPERATION]]+tblDonnées[[#This Row],[POS  FUSIONNEE CPTE AVANT OP]]</f>
        <v>0</v>
      </c>
      <c r="O408" s="17" t="str">
        <f>IF(ISBLANK(tblDonnées[[#This Row],[MONTANT AUTO]]), "N/A", ABS(tblDonnées[[#This Row],[POS  FUSIONNEE CPTE APRES OP]])-ABS(tblDonnées[[#This Row],[MONTANT AUTO]]))</f>
        <v>N/A</v>
      </c>
      <c r="P408" s="39" t="e">
        <f>tblDonnées[[#This Row],[DEPASSEMENT TOTAL SUR AUTO
]]/-tblDonnées[[#This Row],[MONTANT AUTO]]</f>
        <v>#VALUE!</v>
      </c>
      <c r="Q408" s="33"/>
      <c r="R408" s="33"/>
      <c r="S408" s="33"/>
      <c r="T408" s="40">
        <f>IF(tblDonnées[[#This Row],[0,5% du dép]]&lt;5000,5000,IF(tblDonnées[[#This Row],[0,5% du dép]]&gt;50000,50000,tblDonnées[[#This Row],[0,5% du dép]]))</f>
        <v>5000</v>
      </c>
      <c r="U408" s="10">
        <f>ABS(tblDonnées[[#This Row],[MONTANT DEPASSEMENT]]*0.005)</f>
        <v>0</v>
      </c>
      <c r="V408" s="33"/>
      <c r="W408" s="33"/>
      <c r="X408" s="33"/>
      <c r="Y408" s="33"/>
      <c r="Z408" s="33"/>
    </row>
    <row r="409" spans="1:26" x14ac:dyDescent="0.25">
      <c r="A409" s="33"/>
      <c r="B409" s="12"/>
      <c r="C409" s="33"/>
      <c r="D409" s="41"/>
      <c r="H409" s="21"/>
      <c r="I409" s="33"/>
      <c r="J409" s="42"/>
      <c r="K409" s="43"/>
      <c r="L409" s="44"/>
      <c r="M40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09" s="38">
        <f>tblDonnées[[#This Row],[MONTANT OPERATION]]+tblDonnées[[#This Row],[POS  FUSIONNEE CPTE AVANT OP]]</f>
        <v>0</v>
      </c>
      <c r="O409" s="17" t="str">
        <f>IF(ISBLANK(tblDonnées[[#This Row],[MONTANT AUTO]]), "N/A", ABS(tblDonnées[[#This Row],[POS  FUSIONNEE CPTE APRES OP]])-ABS(tblDonnées[[#This Row],[MONTANT AUTO]]))</f>
        <v>N/A</v>
      </c>
      <c r="P409" s="39" t="e">
        <f>tblDonnées[[#This Row],[DEPASSEMENT TOTAL SUR AUTO
]]/-tblDonnées[[#This Row],[MONTANT AUTO]]</f>
        <v>#VALUE!</v>
      </c>
      <c r="Q409" s="33"/>
      <c r="R409" s="33"/>
      <c r="S409" s="33"/>
      <c r="T409" s="40">
        <f>IF(tblDonnées[[#This Row],[0,5% du dép]]&lt;5000,5000,IF(tblDonnées[[#This Row],[0,5% du dép]]&gt;50000,50000,tblDonnées[[#This Row],[0,5% du dép]]))</f>
        <v>5000</v>
      </c>
      <c r="U409" s="10">
        <f>ABS(tblDonnées[[#This Row],[MONTANT DEPASSEMENT]]*0.005)</f>
        <v>0</v>
      </c>
      <c r="V409" s="33"/>
      <c r="W409" s="33"/>
      <c r="X409" s="33"/>
      <c r="Y409" s="33"/>
      <c r="Z409" s="33"/>
    </row>
    <row r="410" spans="1:26" x14ac:dyDescent="0.25">
      <c r="A410" s="33"/>
      <c r="B410" s="12"/>
      <c r="C410" s="33"/>
      <c r="D410" s="41"/>
      <c r="H410" s="21"/>
      <c r="I410" s="33"/>
      <c r="J410" s="42"/>
      <c r="K410" s="43"/>
      <c r="L410" s="44"/>
      <c r="M41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10" s="38">
        <f>tblDonnées[[#This Row],[MONTANT OPERATION]]+tblDonnées[[#This Row],[POS  FUSIONNEE CPTE AVANT OP]]</f>
        <v>0</v>
      </c>
      <c r="O410" s="17" t="str">
        <f>IF(ISBLANK(tblDonnées[[#This Row],[MONTANT AUTO]]), "N/A", ABS(tblDonnées[[#This Row],[POS  FUSIONNEE CPTE APRES OP]])-ABS(tblDonnées[[#This Row],[MONTANT AUTO]]))</f>
        <v>N/A</v>
      </c>
      <c r="P410" s="39" t="e">
        <f>tblDonnées[[#This Row],[DEPASSEMENT TOTAL SUR AUTO
]]/-tblDonnées[[#This Row],[MONTANT AUTO]]</f>
        <v>#VALUE!</v>
      </c>
      <c r="Q410" s="33"/>
      <c r="R410" s="33"/>
      <c r="S410" s="33"/>
      <c r="T410" s="40">
        <f>IF(tblDonnées[[#This Row],[0,5% du dép]]&lt;5000,5000,IF(tblDonnées[[#This Row],[0,5% du dép]]&gt;50000,50000,tblDonnées[[#This Row],[0,5% du dép]]))</f>
        <v>5000</v>
      </c>
      <c r="U410" s="10">
        <f>ABS(tblDonnées[[#This Row],[MONTANT DEPASSEMENT]]*0.005)</f>
        <v>0</v>
      </c>
      <c r="V410" s="33"/>
      <c r="W410" s="33"/>
      <c r="X410" s="33"/>
      <c r="Y410" s="33"/>
      <c r="Z410" s="33"/>
    </row>
    <row r="411" spans="1:26" x14ac:dyDescent="0.25">
      <c r="A411" s="33"/>
      <c r="B411" s="12"/>
      <c r="C411" s="33"/>
      <c r="D411" s="41"/>
      <c r="H411" s="21"/>
      <c r="I411" s="33"/>
      <c r="J411" s="42"/>
      <c r="K411" s="43"/>
      <c r="L411" s="44"/>
      <c r="M41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11" s="38">
        <f>tblDonnées[[#This Row],[MONTANT OPERATION]]+tblDonnées[[#This Row],[POS  FUSIONNEE CPTE AVANT OP]]</f>
        <v>0</v>
      </c>
      <c r="O411" s="17" t="str">
        <f>IF(ISBLANK(tblDonnées[[#This Row],[MONTANT AUTO]]), "N/A", ABS(tblDonnées[[#This Row],[POS  FUSIONNEE CPTE APRES OP]])-ABS(tblDonnées[[#This Row],[MONTANT AUTO]]))</f>
        <v>N/A</v>
      </c>
      <c r="P411" s="39" t="e">
        <f>tblDonnées[[#This Row],[DEPASSEMENT TOTAL SUR AUTO
]]/-tblDonnées[[#This Row],[MONTANT AUTO]]</f>
        <v>#VALUE!</v>
      </c>
      <c r="Q411" s="33"/>
      <c r="R411" s="33"/>
      <c r="S411" s="33"/>
      <c r="T411" s="40">
        <f>IF(tblDonnées[[#This Row],[0,5% du dép]]&lt;5000,5000,IF(tblDonnées[[#This Row],[0,5% du dép]]&gt;50000,50000,tblDonnées[[#This Row],[0,5% du dép]]))</f>
        <v>5000</v>
      </c>
      <c r="U411" s="10">
        <f>ABS(tblDonnées[[#This Row],[MONTANT DEPASSEMENT]]*0.005)</f>
        <v>0</v>
      </c>
      <c r="V411" s="33"/>
      <c r="W411" s="33"/>
      <c r="X411" s="33"/>
      <c r="Y411" s="33"/>
      <c r="Z411" s="33"/>
    </row>
    <row r="412" spans="1:26" x14ac:dyDescent="0.25">
      <c r="A412" s="33"/>
      <c r="B412" s="12"/>
      <c r="C412" s="33"/>
      <c r="D412" s="41"/>
      <c r="H412" s="21"/>
      <c r="I412" s="33"/>
      <c r="J412" s="42"/>
      <c r="K412" s="43"/>
      <c r="L412" s="44"/>
      <c r="M41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12" s="38">
        <f>tblDonnées[[#This Row],[MONTANT OPERATION]]+tblDonnées[[#This Row],[POS  FUSIONNEE CPTE AVANT OP]]</f>
        <v>0</v>
      </c>
      <c r="O412" s="17" t="str">
        <f>IF(ISBLANK(tblDonnées[[#This Row],[MONTANT AUTO]]), "N/A", ABS(tblDonnées[[#This Row],[POS  FUSIONNEE CPTE APRES OP]])-ABS(tblDonnées[[#This Row],[MONTANT AUTO]]))</f>
        <v>N/A</v>
      </c>
      <c r="P412" s="39" t="e">
        <f>tblDonnées[[#This Row],[DEPASSEMENT TOTAL SUR AUTO
]]/-tblDonnées[[#This Row],[MONTANT AUTO]]</f>
        <v>#VALUE!</v>
      </c>
      <c r="Q412" s="33"/>
      <c r="R412" s="33"/>
      <c r="S412" s="33"/>
      <c r="T412" s="40">
        <f>IF(tblDonnées[[#This Row],[0,5% du dép]]&lt;5000,5000,IF(tblDonnées[[#This Row],[0,5% du dép]]&gt;50000,50000,tblDonnées[[#This Row],[0,5% du dép]]))</f>
        <v>5000</v>
      </c>
      <c r="U412" s="10">
        <f>ABS(tblDonnées[[#This Row],[MONTANT DEPASSEMENT]]*0.005)</f>
        <v>0</v>
      </c>
      <c r="V412" s="33"/>
      <c r="W412" s="33"/>
      <c r="X412" s="33"/>
      <c r="Y412" s="33"/>
      <c r="Z412" s="33"/>
    </row>
    <row r="413" spans="1:26" x14ac:dyDescent="0.25">
      <c r="A413" s="33"/>
      <c r="B413" s="12"/>
      <c r="C413" s="33"/>
      <c r="D413" s="41"/>
      <c r="H413" s="21"/>
      <c r="I413" s="33"/>
      <c r="J413" s="42"/>
      <c r="K413" s="43"/>
      <c r="L413" s="44"/>
      <c r="M41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13" s="38">
        <f>tblDonnées[[#This Row],[MONTANT OPERATION]]+tblDonnées[[#This Row],[POS  FUSIONNEE CPTE AVANT OP]]</f>
        <v>0</v>
      </c>
      <c r="O413" s="17" t="str">
        <f>IF(ISBLANK(tblDonnées[[#This Row],[MONTANT AUTO]]), "N/A", ABS(tblDonnées[[#This Row],[POS  FUSIONNEE CPTE APRES OP]])-ABS(tblDonnées[[#This Row],[MONTANT AUTO]]))</f>
        <v>N/A</v>
      </c>
      <c r="P413" s="39" t="e">
        <f>tblDonnées[[#This Row],[DEPASSEMENT TOTAL SUR AUTO
]]/-tblDonnées[[#This Row],[MONTANT AUTO]]</f>
        <v>#VALUE!</v>
      </c>
      <c r="Q413" s="33"/>
      <c r="R413" s="33"/>
      <c r="S413" s="33"/>
      <c r="T413" s="40">
        <f>IF(tblDonnées[[#This Row],[0,5% du dép]]&lt;5000,5000,IF(tblDonnées[[#This Row],[0,5% du dép]]&gt;50000,50000,tblDonnées[[#This Row],[0,5% du dép]]))</f>
        <v>5000</v>
      </c>
      <c r="U413" s="10">
        <f>ABS(tblDonnées[[#This Row],[MONTANT DEPASSEMENT]]*0.005)</f>
        <v>0</v>
      </c>
      <c r="V413" s="33"/>
      <c r="W413" s="33"/>
      <c r="X413" s="33"/>
      <c r="Y413" s="33"/>
      <c r="Z413" s="33"/>
    </row>
    <row r="414" spans="1:26" x14ac:dyDescent="0.25">
      <c r="A414" s="33"/>
      <c r="B414" s="12"/>
      <c r="C414" s="33"/>
      <c r="D414" s="41"/>
      <c r="E414" s="58"/>
      <c r="F414" s="21"/>
      <c r="H414" s="21"/>
      <c r="I414" s="33"/>
      <c r="J414" s="42"/>
      <c r="K414" s="43"/>
      <c r="L414" s="44"/>
      <c r="M41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14" s="38">
        <f>tblDonnées[[#This Row],[MONTANT OPERATION]]+tblDonnées[[#This Row],[POS  FUSIONNEE CPTE AVANT OP]]</f>
        <v>0</v>
      </c>
      <c r="O414" s="17" t="str">
        <f>IF(ISBLANK(tblDonnées[[#This Row],[MONTANT AUTO]]), "N/A", ABS(tblDonnées[[#This Row],[POS  FUSIONNEE CPTE APRES OP]])-ABS(tblDonnées[[#This Row],[MONTANT AUTO]]))</f>
        <v>N/A</v>
      </c>
      <c r="P414" s="39" t="e">
        <f>tblDonnées[[#This Row],[DEPASSEMENT TOTAL SUR AUTO
]]/-tblDonnées[[#This Row],[MONTANT AUTO]]</f>
        <v>#VALUE!</v>
      </c>
      <c r="Q414" s="33"/>
      <c r="R414" s="33"/>
      <c r="S414" s="33"/>
      <c r="T414" s="40">
        <f>IF(tblDonnées[[#This Row],[0,5% du dép]]&lt;5000,5000,IF(tblDonnées[[#This Row],[0,5% du dép]]&gt;50000,50000,tblDonnées[[#This Row],[0,5% du dép]]))</f>
        <v>5000</v>
      </c>
      <c r="U414" s="10">
        <f>ABS(tblDonnées[[#This Row],[MONTANT DEPASSEMENT]]*0.005)</f>
        <v>0</v>
      </c>
      <c r="V414" s="33"/>
      <c r="W414" s="33"/>
      <c r="X414" s="33"/>
      <c r="Y414" s="33"/>
      <c r="Z414" s="33"/>
    </row>
    <row r="415" spans="1:26" x14ac:dyDescent="0.25">
      <c r="A415" s="33"/>
      <c r="B415" s="12"/>
      <c r="C415" s="33"/>
      <c r="D415" s="41"/>
      <c r="H415" s="21"/>
      <c r="I415" s="33"/>
      <c r="J415" s="42"/>
      <c r="K415" s="43"/>
      <c r="L415" s="44"/>
      <c r="M41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15" s="38">
        <f>tblDonnées[[#This Row],[MONTANT OPERATION]]+tblDonnées[[#This Row],[POS  FUSIONNEE CPTE AVANT OP]]</f>
        <v>0</v>
      </c>
      <c r="O415" s="17" t="str">
        <f>IF(ISBLANK(tblDonnées[[#This Row],[MONTANT AUTO]]), "N/A", ABS(tblDonnées[[#This Row],[POS  FUSIONNEE CPTE APRES OP]])-ABS(tblDonnées[[#This Row],[MONTANT AUTO]]))</f>
        <v>N/A</v>
      </c>
      <c r="P415" s="39" t="e">
        <f>tblDonnées[[#This Row],[DEPASSEMENT TOTAL SUR AUTO
]]/-tblDonnées[[#This Row],[MONTANT AUTO]]</f>
        <v>#VALUE!</v>
      </c>
      <c r="Q415" s="33"/>
      <c r="R415" s="33"/>
      <c r="S415" s="33"/>
      <c r="T415" s="40">
        <f>IF(tblDonnées[[#This Row],[0,5% du dép]]&lt;5000,5000,IF(tblDonnées[[#This Row],[0,5% du dép]]&gt;50000,50000,tblDonnées[[#This Row],[0,5% du dép]]))</f>
        <v>5000</v>
      </c>
      <c r="U415" s="10">
        <f>ABS(tblDonnées[[#This Row],[MONTANT DEPASSEMENT]]*0.005)</f>
        <v>0</v>
      </c>
      <c r="V415" s="33"/>
      <c r="W415" s="33"/>
      <c r="X415" s="33"/>
      <c r="Y415" s="33"/>
      <c r="Z415" s="33"/>
    </row>
    <row r="416" spans="1:26" x14ac:dyDescent="0.25">
      <c r="A416" s="33"/>
      <c r="B416" s="12"/>
      <c r="C416" s="33"/>
      <c r="D416" s="41"/>
      <c r="H416" s="21"/>
      <c r="I416" s="33"/>
      <c r="J416" s="42"/>
      <c r="K416" s="43"/>
      <c r="L416" s="44"/>
      <c r="M41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16" s="38">
        <f>tblDonnées[[#This Row],[MONTANT OPERATION]]+tblDonnées[[#This Row],[POS  FUSIONNEE CPTE AVANT OP]]</f>
        <v>0</v>
      </c>
      <c r="O416" s="17" t="str">
        <f>IF(ISBLANK(tblDonnées[[#This Row],[MONTANT AUTO]]), "N/A", ABS(tblDonnées[[#This Row],[POS  FUSIONNEE CPTE APRES OP]])-ABS(tblDonnées[[#This Row],[MONTANT AUTO]]))</f>
        <v>N/A</v>
      </c>
      <c r="P416" s="39" t="e">
        <f>tblDonnées[[#This Row],[DEPASSEMENT TOTAL SUR AUTO
]]/-tblDonnées[[#This Row],[MONTANT AUTO]]</f>
        <v>#VALUE!</v>
      </c>
      <c r="Q416" s="33"/>
      <c r="R416" s="33"/>
      <c r="S416" s="33"/>
      <c r="T416" s="40">
        <f>IF(tblDonnées[[#This Row],[0,5% du dép]]&lt;5000,5000,IF(tblDonnées[[#This Row],[0,5% du dép]]&gt;50000,50000,tblDonnées[[#This Row],[0,5% du dép]]))</f>
        <v>5000</v>
      </c>
      <c r="U416" s="10">
        <f>ABS(tblDonnées[[#This Row],[MONTANT DEPASSEMENT]]*0.005)</f>
        <v>0</v>
      </c>
      <c r="V416" s="33"/>
      <c r="W416" s="33"/>
      <c r="X416" s="33"/>
      <c r="Y416" s="33"/>
      <c r="Z416" s="33"/>
    </row>
    <row r="417" spans="1:26" x14ac:dyDescent="0.25">
      <c r="A417" s="33"/>
      <c r="B417" s="12"/>
      <c r="C417" s="33"/>
      <c r="D417" s="41"/>
      <c r="H417" s="21"/>
      <c r="I417" s="33"/>
      <c r="J417" s="42"/>
      <c r="K417" s="43"/>
      <c r="L417" s="44"/>
      <c r="M41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17" s="38">
        <f>tblDonnées[[#This Row],[MONTANT OPERATION]]+tblDonnées[[#This Row],[POS  FUSIONNEE CPTE AVANT OP]]</f>
        <v>0</v>
      </c>
      <c r="O417" s="17" t="str">
        <f>IF(ISBLANK(tblDonnées[[#This Row],[MONTANT AUTO]]), "N/A", ABS(tblDonnées[[#This Row],[POS  FUSIONNEE CPTE APRES OP]])-ABS(tblDonnées[[#This Row],[MONTANT AUTO]]))</f>
        <v>N/A</v>
      </c>
      <c r="P417" s="39" t="e">
        <f>tblDonnées[[#This Row],[DEPASSEMENT TOTAL SUR AUTO
]]/-tblDonnées[[#This Row],[MONTANT AUTO]]</f>
        <v>#VALUE!</v>
      </c>
      <c r="Q417" s="33"/>
      <c r="R417" s="33"/>
      <c r="S417" s="33"/>
      <c r="T417" s="40">
        <f>IF(tblDonnées[[#This Row],[0,5% du dép]]&lt;5000,5000,IF(tblDonnées[[#This Row],[0,5% du dép]]&gt;50000,50000,tblDonnées[[#This Row],[0,5% du dép]]))</f>
        <v>5000</v>
      </c>
      <c r="U417" s="10">
        <f>ABS(tblDonnées[[#This Row],[MONTANT DEPASSEMENT]]*0.005)</f>
        <v>0</v>
      </c>
      <c r="V417" s="33"/>
      <c r="W417" s="33"/>
      <c r="X417" s="33"/>
      <c r="Y417" s="33"/>
      <c r="Z417" s="33"/>
    </row>
    <row r="418" spans="1:26" x14ac:dyDescent="0.25">
      <c r="A418" s="33"/>
      <c r="B418" s="12"/>
      <c r="C418" s="33"/>
      <c r="D418" s="41"/>
      <c r="H418" s="21"/>
      <c r="I418" s="33"/>
      <c r="J418" s="42"/>
      <c r="K418" s="43"/>
      <c r="L418" s="44"/>
      <c r="M41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18" s="38">
        <f>tblDonnées[[#This Row],[MONTANT OPERATION]]+tblDonnées[[#This Row],[POS  FUSIONNEE CPTE AVANT OP]]</f>
        <v>0</v>
      </c>
      <c r="O418" s="17" t="str">
        <f>IF(ISBLANK(tblDonnées[[#This Row],[MONTANT AUTO]]), "N/A", ABS(tblDonnées[[#This Row],[POS  FUSIONNEE CPTE APRES OP]])-ABS(tblDonnées[[#This Row],[MONTANT AUTO]]))</f>
        <v>N/A</v>
      </c>
      <c r="P418" s="39" t="e">
        <f>tblDonnées[[#This Row],[DEPASSEMENT TOTAL SUR AUTO
]]/-tblDonnées[[#This Row],[MONTANT AUTO]]</f>
        <v>#VALUE!</v>
      </c>
      <c r="Q418" s="33"/>
      <c r="R418" s="33"/>
      <c r="S418" s="33"/>
      <c r="T418" s="40">
        <f>IF(tblDonnées[[#This Row],[0,5% du dép]]&lt;5000,5000,IF(tblDonnées[[#This Row],[0,5% du dép]]&gt;50000,50000,tblDonnées[[#This Row],[0,5% du dép]]))</f>
        <v>5000</v>
      </c>
      <c r="U418" s="10">
        <f>ABS(tblDonnées[[#This Row],[MONTANT DEPASSEMENT]]*0.005)</f>
        <v>0</v>
      </c>
      <c r="V418" s="33"/>
      <c r="W418" s="33"/>
      <c r="X418" s="33"/>
      <c r="Y418" s="33"/>
      <c r="Z418" s="33"/>
    </row>
    <row r="419" spans="1:26" x14ac:dyDescent="0.25">
      <c r="A419" s="33"/>
      <c r="B419" s="12"/>
      <c r="C419" s="33"/>
      <c r="D419" s="41"/>
      <c r="H419" s="21"/>
      <c r="I419" s="33"/>
      <c r="J419" s="42"/>
      <c r="K419" s="43"/>
      <c r="L419" s="44"/>
      <c r="M41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19" s="38">
        <f>tblDonnées[[#This Row],[MONTANT OPERATION]]+tblDonnées[[#This Row],[POS  FUSIONNEE CPTE AVANT OP]]</f>
        <v>0</v>
      </c>
      <c r="O419" s="17" t="str">
        <f>IF(ISBLANK(tblDonnées[[#This Row],[MONTANT AUTO]]), "N/A", ABS(tblDonnées[[#This Row],[POS  FUSIONNEE CPTE APRES OP]])-ABS(tblDonnées[[#This Row],[MONTANT AUTO]]))</f>
        <v>N/A</v>
      </c>
      <c r="P419" s="39" t="e">
        <f>tblDonnées[[#This Row],[DEPASSEMENT TOTAL SUR AUTO
]]/-tblDonnées[[#This Row],[MONTANT AUTO]]</f>
        <v>#VALUE!</v>
      </c>
      <c r="Q419" s="33"/>
      <c r="R419" s="33"/>
      <c r="S419" s="33"/>
      <c r="T419" s="40">
        <f>IF(tblDonnées[[#This Row],[0,5% du dép]]&lt;5000,5000,IF(tblDonnées[[#This Row],[0,5% du dép]]&gt;50000,50000,tblDonnées[[#This Row],[0,5% du dép]]))</f>
        <v>5000</v>
      </c>
      <c r="U419" s="10">
        <f>ABS(tblDonnées[[#This Row],[MONTANT DEPASSEMENT]]*0.005)</f>
        <v>0</v>
      </c>
      <c r="V419" s="33"/>
      <c r="W419" s="33"/>
      <c r="X419" s="33"/>
      <c r="Y419" s="33"/>
      <c r="Z419" s="33"/>
    </row>
    <row r="420" spans="1:26" x14ac:dyDescent="0.25">
      <c r="A420" s="33"/>
      <c r="B420" s="12"/>
      <c r="C420" s="33"/>
      <c r="D420" s="41"/>
      <c r="H420" s="21"/>
      <c r="I420" s="33"/>
      <c r="J420" s="42"/>
      <c r="K420" s="43"/>
      <c r="L420" s="44"/>
      <c r="M42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20" s="38">
        <f>tblDonnées[[#This Row],[MONTANT OPERATION]]+tblDonnées[[#This Row],[POS  FUSIONNEE CPTE AVANT OP]]</f>
        <v>0</v>
      </c>
      <c r="O420" s="17" t="str">
        <f>IF(ISBLANK(tblDonnées[[#This Row],[MONTANT AUTO]]), "N/A", ABS(tblDonnées[[#This Row],[POS  FUSIONNEE CPTE APRES OP]])-ABS(tblDonnées[[#This Row],[MONTANT AUTO]]))</f>
        <v>N/A</v>
      </c>
      <c r="P420" s="39" t="e">
        <f>tblDonnées[[#This Row],[DEPASSEMENT TOTAL SUR AUTO
]]/-tblDonnées[[#This Row],[MONTANT AUTO]]</f>
        <v>#VALUE!</v>
      </c>
      <c r="Q420" s="33"/>
      <c r="R420" s="33"/>
      <c r="S420" s="33"/>
      <c r="T420" s="40">
        <f>IF(tblDonnées[[#This Row],[0,5% du dép]]&lt;5000,5000,IF(tblDonnées[[#This Row],[0,5% du dép]]&gt;50000,50000,tblDonnées[[#This Row],[0,5% du dép]]))</f>
        <v>5000</v>
      </c>
      <c r="U420" s="10">
        <f>ABS(tblDonnées[[#This Row],[MONTANT DEPASSEMENT]]*0.005)</f>
        <v>0</v>
      </c>
      <c r="V420" s="33"/>
      <c r="W420" s="33"/>
      <c r="X420" s="33"/>
      <c r="Y420" s="33"/>
      <c r="Z420" s="33"/>
    </row>
    <row r="421" spans="1:26" x14ac:dyDescent="0.25">
      <c r="A421" s="33"/>
      <c r="B421" s="12"/>
      <c r="C421" s="33"/>
      <c r="D421" s="41"/>
      <c r="H421" s="21"/>
      <c r="I421" s="33"/>
      <c r="J421" s="42"/>
      <c r="K421" s="43"/>
      <c r="L421" s="44"/>
      <c r="M42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21" s="38">
        <f>tblDonnées[[#This Row],[MONTANT OPERATION]]+tblDonnées[[#This Row],[POS  FUSIONNEE CPTE AVANT OP]]</f>
        <v>0</v>
      </c>
      <c r="O421" s="17" t="str">
        <f>IF(ISBLANK(tblDonnées[[#This Row],[MONTANT AUTO]]), "N/A", ABS(tblDonnées[[#This Row],[POS  FUSIONNEE CPTE APRES OP]])-ABS(tblDonnées[[#This Row],[MONTANT AUTO]]))</f>
        <v>N/A</v>
      </c>
      <c r="P421" s="39" t="e">
        <f>tblDonnées[[#This Row],[DEPASSEMENT TOTAL SUR AUTO
]]/-tblDonnées[[#This Row],[MONTANT AUTO]]</f>
        <v>#VALUE!</v>
      </c>
      <c r="Q421" s="33"/>
      <c r="R421" s="33"/>
      <c r="S421" s="33"/>
      <c r="T421" s="40">
        <f>IF(tblDonnées[[#This Row],[0,5% du dép]]&lt;5000,5000,IF(tblDonnées[[#This Row],[0,5% du dép]]&gt;50000,50000,tblDonnées[[#This Row],[0,5% du dép]]))</f>
        <v>5000</v>
      </c>
      <c r="U421" s="10">
        <f>ABS(tblDonnées[[#This Row],[MONTANT DEPASSEMENT]]*0.005)</f>
        <v>0</v>
      </c>
      <c r="V421" s="33"/>
      <c r="W421" s="33"/>
      <c r="X421" s="33"/>
      <c r="Y421" s="33"/>
      <c r="Z421" s="33"/>
    </row>
    <row r="422" spans="1:26" x14ac:dyDescent="0.25">
      <c r="A422" s="33"/>
      <c r="B422" s="12"/>
      <c r="C422" s="33"/>
      <c r="D422" s="41"/>
      <c r="H422" s="21"/>
      <c r="I422" s="33"/>
      <c r="J422" s="42"/>
      <c r="K422" s="43"/>
      <c r="L422" s="44"/>
      <c r="M42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22" s="38">
        <f>tblDonnées[[#This Row],[MONTANT OPERATION]]+tblDonnées[[#This Row],[POS  FUSIONNEE CPTE AVANT OP]]</f>
        <v>0</v>
      </c>
      <c r="O422" s="17" t="str">
        <f>IF(ISBLANK(tblDonnées[[#This Row],[MONTANT AUTO]]), "N/A", ABS(tblDonnées[[#This Row],[POS  FUSIONNEE CPTE APRES OP]])-ABS(tblDonnées[[#This Row],[MONTANT AUTO]]))</f>
        <v>N/A</v>
      </c>
      <c r="P422" s="39" t="e">
        <f>tblDonnées[[#This Row],[DEPASSEMENT TOTAL SUR AUTO
]]/-tblDonnées[[#This Row],[MONTANT AUTO]]</f>
        <v>#VALUE!</v>
      </c>
      <c r="Q422" s="33"/>
      <c r="R422" s="33"/>
      <c r="S422" s="33"/>
      <c r="T422" s="40">
        <f>IF(tblDonnées[[#This Row],[0,5% du dép]]&lt;5000,5000,IF(tblDonnées[[#This Row],[0,5% du dép]]&gt;50000,50000,tblDonnées[[#This Row],[0,5% du dép]]))</f>
        <v>5000</v>
      </c>
      <c r="U422" s="10">
        <f>ABS(tblDonnées[[#This Row],[MONTANT DEPASSEMENT]]*0.005)</f>
        <v>0</v>
      </c>
      <c r="V422" s="33"/>
      <c r="W422" s="33"/>
      <c r="X422" s="33"/>
      <c r="Y422" s="33"/>
      <c r="Z422" s="33"/>
    </row>
    <row r="423" spans="1:26" x14ac:dyDescent="0.25">
      <c r="A423" s="33"/>
      <c r="B423" s="12"/>
      <c r="C423" s="33"/>
      <c r="D423" s="41"/>
      <c r="H423" s="21"/>
      <c r="I423" s="33"/>
      <c r="J423" s="42"/>
      <c r="K423" s="43"/>
      <c r="L423" s="44"/>
      <c r="M42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23" s="38">
        <f>tblDonnées[[#This Row],[MONTANT OPERATION]]+tblDonnées[[#This Row],[POS  FUSIONNEE CPTE AVANT OP]]</f>
        <v>0</v>
      </c>
      <c r="O423" s="17" t="str">
        <f>IF(ISBLANK(tblDonnées[[#This Row],[MONTANT AUTO]]), "N/A", ABS(tblDonnées[[#This Row],[POS  FUSIONNEE CPTE APRES OP]])-ABS(tblDonnées[[#This Row],[MONTANT AUTO]]))</f>
        <v>N/A</v>
      </c>
      <c r="P423" s="39" t="e">
        <f>tblDonnées[[#This Row],[DEPASSEMENT TOTAL SUR AUTO
]]/-tblDonnées[[#This Row],[MONTANT AUTO]]</f>
        <v>#VALUE!</v>
      </c>
      <c r="Q423" s="33"/>
      <c r="R423" s="33"/>
      <c r="S423" s="33"/>
      <c r="T423" s="40">
        <f>IF(tblDonnées[[#This Row],[0,5% du dép]]&lt;5000,5000,IF(tblDonnées[[#This Row],[0,5% du dép]]&gt;50000,50000,tblDonnées[[#This Row],[0,5% du dép]]))</f>
        <v>5000</v>
      </c>
      <c r="U423" s="10">
        <f>ABS(tblDonnées[[#This Row],[MONTANT DEPASSEMENT]]*0.005)</f>
        <v>0</v>
      </c>
      <c r="V423" s="33"/>
      <c r="W423" s="33"/>
      <c r="X423" s="33"/>
      <c r="Y423" s="33"/>
      <c r="Z423" s="33"/>
    </row>
    <row r="424" spans="1:26" x14ac:dyDescent="0.25">
      <c r="A424" s="33"/>
      <c r="B424" s="12"/>
      <c r="C424" s="33"/>
      <c r="D424" s="41"/>
      <c r="H424" s="21"/>
      <c r="I424" s="33"/>
      <c r="J424" s="42"/>
      <c r="K424" s="43"/>
      <c r="L424" s="44"/>
      <c r="M42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24" s="38">
        <f>tblDonnées[[#This Row],[MONTANT OPERATION]]+tblDonnées[[#This Row],[POS  FUSIONNEE CPTE AVANT OP]]</f>
        <v>0</v>
      </c>
      <c r="O424" s="17" t="str">
        <f>IF(ISBLANK(tblDonnées[[#This Row],[MONTANT AUTO]]), "N/A", ABS(tblDonnées[[#This Row],[POS  FUSIONNEE CPTE APRES OP]])-ABS(tblDonnées[[#This Row],[MONTANT AUTO]]))</f>
        <v>N/A</v>
      </c>
      <c r="P424" s="39" t="e">
        <f>tblDonnées[[#This Row],[DEPASSEMENT TOTAL SUR AUTO
]]/-tblDonnées[[#This Row],[MONTANT AUTO]]</f>
        <v>#VALUE!</v>
      </c>
      <c r="Q424" s="33"/>
      <c r="R424" s="33"/>
      <c r="S424" s="33"/>
      <c r="T424" s="40">
        <f>IF(tblDonnées[[#This Row],[0,5% du dép]]&lt;5000,5000,IF(tblDonnées[[#This Row],[0,5% du dép]]&gt;50000,50000,tblDonnées[[#This Row],[0,5% du dép]]))</f>
        <v>5000</v>
      </c>
      <c r="U424" s="10">
        <f>ABS(tblDonnées[[#This Row],[MONTANT DEPASSEMENT]]*0.005)</f>
        <v>0</v>
      </c>
      <c r="V424" s="33"/>
      <c r="W424" s="33"/>
      <c r="X424" s="33"/>
      <c r="Y424" s="33"/>
      <c r="Z424" s="33"/>
    </row>
    <row r="425" spans="1:26" x14ac:dyDescent="0.25">
      <c r="A425" s="33"/>
      <c r="B425" s="12"/>
      <c r="C425" s="33"/>
      <c r="D425" s="41"/>
      <c r="E425" s="58"/>
      <c r="F425" s="21"/>
      <c r="H425" s="21"/>
      <c r="I425" s="33"/>
      <c r="J425" s="42"/>
      <c r="K425" s="43"/>
      <c r="L425" s="44"/>
      <c r="M42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25" s="38">
        <f>tblDonnées[[#This Row],[MONTANT OPERATION]]+tblDonnées[[#This Row],[POS  FUSIONNEE CPTE AVANT OP]]</f>
        <v>0</v>
      </c>
      <c r="O425" s="17" t="str">
        <f>IF(ISBLANK(tblDonnées[[#This Row],[MONTANT AUTO]]), "N/A", ABS(tblDonnées[[#This Row],[POS  FUSIONNEE CPTE APRES OP]])-ABS(tblDonnées[[#This Row],[MONTANT AUTO]]))</f>
        <v>N/A</v>
      </c>
      <c r="P425" s="39" t="e">
        <f>tblDonnées[[#This Row],[DEPASSEMENT TOTAL SUR AUTO
]]/-tblDonnées[[#This Row],[MONTANT AUTO]]</f>
        <v>#VALUE!</v>
      </c>
      <c r="Q425" s="33"/>
      <c r="R425" s="33"/>
      <c r="S425" s="33"/>
      <c r="T425" s="40">
        <f>IF(tblDonnées[[#This Row],[0,5% du dép]]&lt;5000,5000,IF(tblDonnées[[#This Row],[0,5% du dép]]&gt;50000,50000,tblDonnées[[#This Row],[0,5% du dép]]))</f>
        <v>5000</v>
      </c>
      <c r="U425" s="10">
        <f>ABS(tblDonnées[[#This Row],[MONTANT DEPASSEMENT]]*0.005)</f>
        <v>0</v>
      </c>
      <c r="V425" s="33"/>
      <c r="W425" s="33"/>
      <c r="X425" s="33"/>
      <c r="Y425" s="33"/>
      <c r="Z425" s="33"/>
    </row>
    <row r="426" spans="1:26" x14ac:dyDescent="0.25">
      <c r="A426" s="33"/>
      <c r="B426" s="12"/>
      <c r="C426" s="33"/>
      <c r="D426" s="41"/>
      <c r="H426" s="21"/>
      <c r="I426" s="33"/>
      <c r="J426" s="42"/>
      <c r="K426" s="43"/>
      <c r="L426" s="44"/>
      <c r="M42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26" s="38">
        <f>tblDonnées[[#This Row],[MONTANT OPERATION]]+tblDonnées[[#This Row],[POS  FUSIONNEE CPTE AVANT OP]]</f>
        <v>0</v>
      </c>
      <c r="O426" s="17" t="str">
        <f>IF(ISBLANK(tblDonnées[[#This Row],[MONTANT AUTO]]), "N/A", ABS(tblDonnées[[#This Row],[POS  FUSIONNEE CPTE APRES OP]])-ABS(tblDonnées[[#This Row],[MONTANT AUTO]]))</f>
        <v>N/A</v>
      </c>
      <c r="P426" s="39" t="e">
        <f>tblDonnées[[#This Row],[DEPASSEMENT TOTAL SUR AUTO
]]/-tblDonnées[[#This Row],[MONTANT AUTO]]</f>
        <v>#VALUE!</v>
      </c>
      <c r="Q426" s="33"/>
      <c r="R426" s="33"/>
      <c r="S426" s="33"/>
      <c r="T426" s="40">
        <f>IF(tblDonnées[[#This Row],[0,5% du dép]]&lt;5000,5000,IF(tblDonnées[[#This Row],[0,5% du dép]]&gt;50000,50000,tblDonnées[[#This Row],[0,5% du dép]]))</f>
        <v>5000</v>
      </c>
      <c r="U426" s="10">
        <f>ABS(tblDonnées[[#This Row],[MONTANT DEPASSEMENT]]*0.005)</f>
        <v>0</v>
      </c>
      <c r="V426" s="33"/>
      <c r="W426" s="33"/>
      <c r="X426" s="33"/>
      <c r="Y426" s="33"/>
      <c r="Z426" s="33"/>
    </row>
    <row r="427" spans="1:26" x14ac:dyDescent="0.25">
      <c r="A427" s="33"/>
      <c r="B427" s="12"/>
      <c r="C427" s="33"/>
      <c r="D427" s="41"/>
      <c r="H427" s="21"/>
      <c r="I427" s="33"/>
      <c r="J427" s="42"/>
      <c r="K427" s="43"/>
      <c r="L427" s="44"/>
      <c r="M42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27" s="38">
        <f>tblDonnées[[#This Row],[MONTANT OPERATION]]+tblDonnées[[#This Row],[POS  FUSIONNEE CPTE AVANT OP]]</f>
        <v>0</v>
      </c>
      <c r="O427" s="17" t="str">
        <f>IF(ISBLANK(tblDonnées[[#This Row],[MONTANT AUTO]]), "N/A", ABS(tblDonnées[[#This Row],[POS  FUSIONNEE CPTE APRES OP]])-ABS(tblDonnées[[#This Row],[MONTANT AUTO]]))</f>
        <v>N/A</v>
      </c>
      <c r="P427" s="39" t="e">
        <f>tblDonnées[[#This Row],[DEPASSEMENT TOTAL SUR AUTO
]]/-tblDonnées[[#This Row],[MONTANT AUTO]]</f>
        <v>#VALUE!</v>
      </c>
      <c r="Q427" s="33"/>
      <c r="R427" s="33"/>
      <c r="S427" s="33"/>
      <c r="T427" s="40">
        <f>IF(tblDonnées[[#This Row],[0,5% du dép]]&lt;5000,5000,IF(tblDonnées[[#This Row],[0,5% du dép]]&gt;50000,50000,tblDonnées[[#This Row],[0,5% du dép]]))</f>
        <v>5000</v>
      </c>
      <c r="U427" s="10">
        <f>ABS(tblDonnées[[#This Row],[MONTANT DEPASSEMENT]]*0.005)</f>
        <v>0</v>
      </c>
      <c r="V427" s="33"/>
      <c r="W427" s="33"/>
      <c r="X427" s="33"/>
      <c r="Y427" s="33"/>
      <c r="Z427" s="33"/>
    </row>
    <row r="428" spans="1:26" x14ac:dyDescent="0.25">
      <c r="A428" s="33"/>
      <c r="B428" s="12"/>
      <c r="C428" s="33"/>
      <c r="D428" s="41"/>
      <c r="H428" s="21"/>
      <c r="I428" s="33"/>
      <c r="J428" s="42"/>
      <c r="K428" s="43"/>
      <c r="L428" s="44"/>
      <c r="M42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28" s="38">
        <f>tblDonnées[[#This Row],[MONTANT OPERATION]]+tblDonnées[[#This Row],[POS  FUSIONNEE CPTE AVANT OP]]</f>
        <v>0</v>
      </c>
      <c r="O428" s="17" t="str">
        <f>IF(ISBLANK(tblDonnées[[#This Row],[MONTANT AUTO]]), "N/A", ABS(tblDonnées[[#This Row],[POS  FUSIONNEE CPTE APRES OP]])-ABS(tblDonnées[[#This Row],[MONTANT AUTO]]))</f>
        <v>N/A</v>
      </c>
      <c r="P428" s="39" t="e">
        <f>tblDonnées[[#This Row],[DEPASSEMENT TOTAL SUR AUTO
]]/-tblDonnées[[#This Row],[MONTANT AUTO]]</f>
        <v>#VALUE!</v>
      </c>
      <c r="Q428" s="33"/>
      <c r="R428" s="33"/>
      <c r="S428" s="33"/>
      <c r="T428" s="40">
        <f>IF(tblDonnées[[#This Row],[0,5% du dép]]&lt;5000,5000,IF(tblDonnées[[#This Row],[0,5% du dép]]&gt;50000,50000,tblDonnées[[#This Row],[0,5% du dép]]))</f>
        <v>5000</v>
      </c>
      <c r="U428" s="10">
        <f>ABS(tblDonnées[[#This Row],[MONTANT DEPASSEMENT]]*0.005)</f>
        <v>0</v>
      </c>
      <c r="V428" s="33"/>
      <c r="W428" s="33"/>
      <c r="X428" s="33"/>
      <c r="Y428" s="33"/>
      <c r="Z428" s="33"/>
    </row>
    <row r="429" spans="1:26" x14ac:dyDescent="0.25">
      <c r="A429" s="33"/>
      <c r="B429" s="12"/>
      <c r="C429" s="33"/>
      <c r="D429" s="41"/>
      <c r="H429" s="21"/>
      <c r="I429" s="33"/>
      <c r="J429" s="42"/>
      <c r="K429" s="43"/>
      <c r="L429" s="44"/>
      <c r="M42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29" s="38">
        <f>tblDonnées[[#This Row],[MONTANT OPERATION]]+tblDonnées[[#This Row],[POS  FUSIONNEE CPTE AVANT OP]]</f>
        <v>0</v>
      </c>
      <c r="O429" s="17" t="str">
        <f>IF(ISBLANK(tblDonnées[[#This Row],[MONTANT AUTO]]), "N/A", ABS(tblDonnées[[#This Row],[POS  FUSIONNEE CPTE APRES OP]])-ABS(tblDonnées[[#This Row],[MONTANT AUTO]]))</f>
        <v>N/A</v>
      </c>
      <c r="P429" s="39" t="e">
        <f>tblDonnées[[#This Row],[DEPASSEMENT TOTAL SUR AUTO
]]/-tblDonnées[[#This Row],[MONTANT AUTO]]</f>
        <v>#VALUE!</v>
      </c>
      <c r="Q429" s="33"/>
      <c r="R429" s="33"/>
      <c r="S429" s="33"/>
      <c r="T429" s="40">
        <f>IF(tblDonnées[[#This Row],[0,5% du dép]]&lt;5000,5000,IF(tblDonnées[[#This Row],[0,5% du dép]]&gt;50000,50000,tblDonnées[[#This Row],[0,5% du dép]]))</f>
        <v>5000</v>
      </c>
      <c r="U429" s="10">
        <f>ABS(tblDonnées[[#This Row],[MONTANT DEPASSEMENT]]*0.005)</f>
        <v>0</v>
      </c>
      <c r="V429" s="33"/>
      <c r="W429" s="33"/>
      <c r="X429" s="33"/>
      <c r="Y429" s="33"/>
      <c r="Z429" s="33"/>
    </row>
    <row r="430" spans="1:26" x14ac:dyDescent="0.25">
      <c r="A430" s="33"/>
      <c r="B430" s="12"/>
      <c r="C430" s="33"/>
      <c r="D430" s="41"/>
      <c r="H430" s="21"/>
      <c r="I430" s="33"/>
      <c r="J430" s="42"/>
      <c r="K430" s="43"/>
      <c r="L430" s="44"/>
      <c r="M43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30" s="38">
        <f>tblDonnées[[#This Row],[MONTANT OPERATION]]+tblDonnées[[#This Row],[POS  FUSIONNEE CPTE AVANT OP]]</f>
        <v>0</v>
      </c>
      <c r="O430" s="17" t="str">
        <f>IF(ISBLANK(tblDonnées[[#This Row],[MONTANT AUTO]]), "N/A", ABS(tblDonnées[[#This Row],[POS  FUSIONNEE CPTE APRES OP]])-ABS(tblDonnées[[#This Row],[MONTANT AUTO]]))</f>
        <v>N/A</v>
      </c>
      <c r="P430" s="39" t="e">
        <f>tblDonnées[[#This Row],[DEPASSEMENT TOTAL SUR AUTO
]]/-tblDonnées[[#This Row],[MONTANT AUTO]]</f>
        <v>#VALUE!</v>
      </c>
      <c r="Q430" s="33"/>
      <c r="R430" s="33"/>
      <c r="S430" s="33"/>
      <c r="T430" s="40">
        <f>IF(tblDonnées[[#This Row],[0,5% du dép]]&lt;5000,5000,IF(tblDonnées[[#This Row],[0,5% du dép]]&gt;50000,50000,tblDonnées[[#This Row],[0,5% du dép]]))</f>
        <v>5000</v>
      </c>
      <c r="U430" s="10">
        <f>ABS(tblDonnées[[#This Row],[MONTANT DEPASSEMENT]]*0.005)</f>
        <v>0</v>
      </c>
      <c r="V430" s="33"/>
      <c r="W430" s="33"/>
      <c r="X430" s="33"/>
      <c r="Y430" s="33"/>
      <c r="Z430" s="33"/>
    </row>
    <row r="431" spans="1:26" x14ac:dyDescent="0.25">
      <c r="A431" s="33"/>
      <c r="B431" s="12"/>
      <c r="C431" s="33"/>
      <c r="D431" s="41"/>
      <c r="H431" s="21"/>
      <c r="I431" s="33"/>
      <c r="J431" s="42"/>
      <c r="K431" s="43"/>
      <c r="L431" s="44"/>
      <c r="M43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31" s="38">
        <f>tblDonnées[[#This Row],[MONTANT OPERATION]]+tblDonnées[[#This Row],[POS  FUSIONNEE CPTE AVANT OP]]</f>
        <v>0</v>
      </c>
      <c r="O431" s="17" t="str">
        <f>IF(ISBLANK(tblDonnées[[#This Row],[MONTANT AUTO]]), "N/A", ABS(tblDonnées[[#This Row],[POS  FUSIONNEE CPTE APRES OP]])-ABS(tblDonnées[[#This Row],[MONTANT AUTO]]))</f>
        <v>N/A</v>
      </c>
      <c r="P431" s="39" t="e">
        <f>tblDonnées[[#This Row],[DEPASSEMENT TOTAL SUR AUTO
]]/-tblDonnées[[#This Row],[MONTANT AUTO]]</f>
        <v>#VALUE!</v>
      </c>
      <c r="Q431" s="33"/>
      <c r="R431" s="33"/>
      <c r="S431" s="33"/>
      <c r="T431" s="40">
        <f>IF(tblDonnées[[#This Row],[0,5% du dép]]&lt;5000,5000,IF(tblDonnées[[#This Row],[0,5% du dép]]&gt;50000,50000,tblDonnées[[#This Row],[0,5% du dép]]))</f>
        <v>5000</v>
      </c>
      <c r="U431" s="10">
        <f>ABS(tblDonnées[[#This Row],[MONTANT DEPASSEMENT]]*0.005)</f>
        <v>0</v>
      </c>
      <c r="V431" s="33"/>
      <c r="W431" s="33"/>
      <c r="X431" s="33"/>
      <c r="Y431" s="33"/>
      <c r="Z431" s="33"/>
    </row>
    <row r="432" spans="1:26" x14ac:dyDescent="0.25">
      <c r="A432" s="33"/>
      <c r="B432" s="12"/>
      <c r="C432" s="33"/>
      <c r="D432" s="41"/>
      <c r="H432" s="21"/>
      <c r="I432" s="33"/>
      <c r="J432" s="42"/>
      <c r="K432" s="43"/>
      <c r="L432" s="44"/>
      <c r="M43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32" s="38">
        <f>tblDonnées[[#This Row],[MONTANT OPERATION]]+tblDonnées[[#This Row],[POS  FUSIONNEE CPTE AVANT OP]]</f>
        <v>0</v>
      </c>
      <c r="O432" s="17" t="str">
        <f>IF(ISBLANK(tblDonnées[[#This Row],[MONTANT AUTO]]), "N/A", ABS(tblDonnées[[#This Row],[POS  FUSIONNEE CPTE APRES OP]])-ABS(tblDonnées[[#This Row],[MONTANT AUTO]]))</f>
        <v>N/A</v>
      </c>
      <c r="P432" s="39" t="e">
        <f>tblDonnées[[#This Row],[DEPASSEMENT TOTAL SUR AUTO
]]/-tblDonnées[[#This Row],[MONTANT AUTO]]</f>
        <v>#VALUE!</v>
      </c>
      <c r="Q432" s="33"/>
      <c r="R432" s="33"/>
      <c r="S432" s="33"/>
      <c r="T432" s="40">
        <f>IF(tblDonnées[[#This Row],[0,5% du dép]]&lt;5000,5000,IF(tblDonnées[[#This Row],[0,5% du dép]]&gt;50000,50000,tblDonnées[[#This Row],[0,5% du dép]]))</f>
        <v>5000</v>
      </c>
      <c r="U432" s="10">
        <f>ABS(tblDonnées[[#This Row],[MONTANT DEPASSEMENT]]*0.005)</f>
        <v>0</v>
      </c>
      <c r="V432" s="33"/>
      <c r="W432" s="33"/>
      <c r="X432" s="33"/>
      <c r="Y432" s="33"/>
      <c r="Z432" s="33"/>
    </row>
    <row r="433" spans="1:26" x14ac:dyDescent="0.25">
      <c r="A433" s="33"/>
      <c r="B433" s="12"/>
      <c r="C433" s="33"/>
      <c r="D433" s="41"/>
      <c r="H433" s="21"/>
      <c r="I433" s="33"/>
      <c r="J433" s="42"/>
      <c r="K433" s="43"/>
      <c r="L433" s="44"/>
      <c r="M43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33" s="38">
        <f>tblDonnées[[#This Row],[MONTANT OPERATION]]+tblDonnées[[#This Row],[POS  FUSIONNEE CPTE AVANT OP]]</f>
        <v>0</v>
      </c>
      <c r="O433" s="17" t="str">
        <f>IF(ISBLANK(tblDonnées[[#This Row],[MONTANT AUTO]]), "N/A", ABS(tblDonnées[[#This Row],[POS  FUSIONNEE CPTE APRES OP]])-ABS(tblDonnées[[#This Row],[MONTANT AUTO]]))</f>
        <v>N/A</v>
      </c>
      <c r="P433" s="39" t="e">
        <f>tblDonnées[[#This Row],[DEPASSEMENT TOTAL SUR AUTO
]]/-tblDonnées[[#This Row],[MONTANT AUTO]]</f>
        <v>#VALUE!</v>
      </c>
      <c r="Q433" s="33"/>
      <c r="R433" s="33"/>
      <c r="S433" s="33"/>
      <c r="T433" s="40">
        <f>IF(tblDonnées[[#This Row],[0,5% du dép]]&lt;5000,5000,IF(tblDonnées[[#This Row],[0,5% du dép]]&gt;50000,50000,tblDonnées[[#This Row],[0,5% du dép]]))</f>
        <v>5000</v>
      </c>
      <c r="U433" s="10">
        <f>ABS(tblDonnées[[#This Row],[MONTANT DEPASSEMENT]]*0.005)</f>
        <v>0</v>
      </c>
      <c r="V433" s="33"/>
      <c r="W433" s="33"/>
      <c r="X433" s="33"/>
      <c r="Y433" s="33"/>
      <c r="Z433" s="33"/>
    </row>
    <row r="434" spans="1:26" x14ac:dyDescent="0.25">
      <c r="A434" s="33"/>
      <c r="B434" s="12"/>
      <c r="C434" s="33"/>
      <c r="D434" s="41"/>
      <c r="H434" s="21"/>
      <c r="I434" s="33"/>
      <c r="J434" s="42"/>
      <c r="K434" s="43"/>
      <c r="L434" s="44"/>
      <c r="M43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34" s="38">
        <f>tblDonnées[[#This Row],[MONTANT OPERATION]]+tblDonnées[[#This Row],[POS  FUSIONNEE CPTE AVANT OP]]</f>
        <v>0</v>
      </c>
      <c r="O434" s="17" t="str">
        <f>IF(ISBLANK(tblDonnées[[#This Row],[MONTANT AUTO]]), "N/A", ABS(tblDonnées[[#This Row],[POS  FUSIONNEE CPTE APRES OP]])-ABS(tblDonnées[[#This Row],[MONTANT AUTO]]))</f>
        <v>N/A</v>
      </c>
      <c r="P434" s="39" t="e">
        <f>tblDonnées[[#This Row],[DEPASSEMENT TOTAL SUR AUTO
]]/-tblDonnées[[#This Row],[MONTANT AUTO]]</f>
        <v>#VALUE!</v>
      </c>
      <c r="Q434" s="33"/>
      <c r="R434" s="33"/>
      <c r="S434" s="33"/>
      <c r="T434" s="40">
        <f>IF(tblDonnées[[#This Row],[0,5% du dép]]&lt;5000,5000,IF(tblDonnées[[#This Row],[0,5% du dép]]&gt;50000,50000,tblDonnées[[#This Row],[0,5% du dép]]))</f>
        <v>5000</v>
      </c>
      <c r="U434" s="10">
        <f>ABS(tblDonnées[[#This Row],[MONTANT DEPASSEMENT]]*0.005)</f>
        <v>0</v>
      </c>
      <c r="V434" s="33"/>
      <c r="W434" s="33"/>
      <c r="X434" s="33"/>
      <c r="Y434" s="33"/>
      <c r="Z434" s="33"/>
    </row>
    <row r="435" spans="1:26" x14ac:dyDescent="0.25">
      <c r="A435" s="33"/>
      <c r="B435" s="12"/>
      <c r="C435" s="33"/>
      <c r="D435" s="41"/>
      <c r="H435" s="21"/>
      <c r="I435" s="33"/>
      <c r="J435" s="42"/>
      <c r="K435" s="43"/>
      <c r="L435" s="44"/>
      <c r="M43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35" s="38">
        <f>tblDonnées[[#This Row],[MONTANT OPERATION]]+tblDonnées[[#This Row],[POS  FUSIONNEE CPTE AVANT OP]]</f>
        <v>0</v>
      </c>
      <c r="O435" s="17" t="str">
        <f>IF(ISBLANK(tblDonnées[[#This Row],[MONTANT AUTO]]), "N/A", ABS(tblDonnées[[#This Row],[POS  FUSIONNEE CPTE APRES OP]])-ABS(tblDonnées[[#This Row],[MONTANT AUTO]]))</f>
        <v>N/A</v>
      </c>
      <c r="P435" s="39" t="e">
        <f>tblDonnées[[#This Row],[DEPASSEMENT TOTAL SUR AUTO
]]/-tblDonnées[[#This Row],[MONTANT AUTO]]</f>
        <v>#VALUE!</v>
      </c>
      <c r="Q435" s="33"/>
      <c r="R435" s="33"/>
      <c r="S435" s="33"/>
      <c r="T435" s="40">
        <f>IF(tblDonnées[[#This Row],[0,5% du dép]]&lt;5000,5000,IF(tblDonnées[[#This Row],[0,5% du dép]]&gt;50000,50000,tblDonnées[[#This Row],[0,5% du dép]]))</f>
        <v>5000</v>
      </c>
      <c r="U435" s="10">
        <f>ABS(tblDonnées[[#This Row],[MONTANT DEPASSEMENT]]*0.005)</f>
        <v>0</v>
      </c>
      <c r="V435" s="33"/>
      <c r="W435" s="33"/>
      <c r="X435" s="33"/>
      <c r="Y435" s="33"/>
      <c r="Z435" s="33"/>
    </row>
    <row r="436" spans="1:26" x14ac:dyDescent="0.25">
      <c r="A436" s="33"/>
      <c r="B436" s="12"/>
      <c r="C436" s="33"/>
      <c r="D436" s="41"/>
      <c r="H436" s="21"/>
      <c r="I436" s="33"/>
      <c r="J436" s="42"/>
      <c r="K436" s="43"/>
      <c r="L436" s="44"/>
      <c r="M43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36" s="38">
        <f>tblDonnées[[#This Row],[MONTANT OPERATION]]+tblDonnées[[#This Row],[POS  FUSIONNEE CPTE AVANT OP]]</f>
        <v>0</v>
      </c>
      <c r="O436" s="17" t="str">
        <f>IF(ISBLANK(tblDonnées[[#This Row],[MONTANT AUTO]]), "N/A", ABS(tblDonnées[[#This Row],[POS  FUSIONNEE CPTE APRES OP]])-ABS(tblDonnées[[#This Row],[MONTANT AUTO]]))</f>
        <v>N/A</v>
      </c>
      <c r="P436" s="39" t="e">
        <f>tblDonnées[[#This Row],[DEPASSEMENT TOTAL SUR AUTO
]]/-tblDonnées[[#This Row],[MONTANT AUTO]]</f>
        <v>#VALUE!</v>
      </c>
      <c r="Q436" s="33"/>
      <c r="R436" s="33"/>
      <c r="S436" s="33"/>
      <c r="T436" s="40">
        <f>IF(tblDonnées[[#This Row],[0,5% du dép]]&lt;5000,5000,IF(tblDonnées[[#This Row],[0,5% du dép]]&gt;50000,50000,tblDonnées[[#This Row],[0,5% du dép]]))</f>
        <v>5000</v>
      </c>
      <c r="U436" s="10">
        <f>ABS(tblDonnées[[#This Row],[MONTANT DEPASSEMENT]]*0.005)</f>
        <v>0</v>
      </c>
      <c r="V436" s="33"/>
      <c r="W436" s="33"/>
      <c r="X436" s="33"/>
      <c r="Y436" s="33"/>
      <c r="Z436" s="33"/>
    </row>
    <row r="437" spans="1:26" x14ac:dyDescent="0.25">
      <c r="A437" s="33"/>
      <c r="B437" s="12"/>
      <c r="C437" s="33"/>
      <c r="D437" s="41"/>
      <c r="H437" s="21"/>
      <c r="I437" s="33"/>
      <c r="J437" s="42"/>
      <c r="K437" s="43"/>
      <c r="L437" s="44"/>
      <c r="M43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37" s="38">
        <f>tblDonnées[[#This Row],[MONTANT OPERATION]]+tblDonnées[[#This Row],[POS  FUSIONNEE CPTE AVANT OP]]</f>
        <v>0</v>
      </c>
      <c r="O437" s="17" t="str">
        <f>IF(ISBLANK(tblDonnées[[#This Row],[MONTANT AUTO]]), "N/A", ABS(tblDonnées[[#This Row],[POS  FUSIONNEE CPTE APRES OP]])-ABS(tblDonnées[[#This Row],[MONTANT AUTO]]))</f>
        <v>N/A</v>
      </c>
      <c r="P437" s="39" t="e">
        <f>tblDonnées[[#This Row],[DEPASSEMENT TOTAL SUR AUTO
]]/-tblDonnées[[#This Row],[MONTANT AUTO]]</f>
        <v>#VALUE!</v>
      </c>
      <c r="Q437" s="33"/>
      <c r="R437" s="33"/>
      <c r="S437" s="33"/>
      <c r="T437" s="40">
        <f>IF(tblDonnées[[#This Row],[0,5% du dép]]&lt;5000,5000,IF(tblDonnées[[#This Row],[0,5% du dép]]&gt;50000,50000,tblDonnées[[#This Row],[0,5% du dép]]))</f>
        <v>5000</v>
      </c>
      <c r="U437" s="10">
        <f>ABS(tblDonnées[[#This Row],[MONTANT DEPASSEMENT]]*0.005)</f>
        <v>0</v>
      </c>
      <c r="V437" s="33"/>
      <c r="W437" s="33"/>
      <c r="X437" s="33"/>
      <c r="Y437" s="33"/>
      <c r="Z437" s="33"/>
    </row>
    <row r="438" spans="1:26" x14ac:dyDescent="0.25">
      <c r="A438" s="33"/>
      <c r="B438" s="12"/>
      <c r="C438" s="33"/>
      <c r="D438" s="41"/>
      <c r="H438" s="21"/>
      <c r="I438" s="33"/>
      <c r="J438" s="42"/>
      <c r="K438" s="43"/>
      <c r="L438" s="44"/>
      <c r="M43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38" s="38">
        <f>tblDonnées[[#This Row],[MONTANT OPERATION]]+tblDonnées[[#This Row],[POS  FUSIONNEE CPTE AVANT OP]]</f>
        <v>0</v>
      </c>
      <c r="O438" s="17" t="str">
        <f>IF(ISBLANK(tblDonnées[[#This Row],[MONTANT AUTO]]), "N/A", ABS(tblDonnées[[#This Row],[POS  FUSIONNEE CPTE APRES OP]])-ABS(tblDonnées[[#This Row],[MONTANT AUTO]]))</f>
        <v>N/A</v>
      </c>
      <c r="P438" s="39" t="e">
        <f>tblDonnées[[#This Row],[DEPASSEMENT TOTAL SUR AUTO
]]/-tblDonnées[[#This Row],[MONTANT AUTO]]</f>
        <v>#VALUE!</v>
      </c>
      <c r="Q438" s="33"/>
      <c r="R438" s="33"/>
      <c r="S438" s="33"/>
      <c r="T438" s="40">
        <f>IF(tblDonnées[[#This Row],[0,5% du dép]]&lt;5000,5000,IF(tblDonnées[[#This Row],[0,5% du dép]]&gt;50000,50000,tblDonnées[[#This Row],[0,5% du dép]]))</f>
        <v>5000</v>
      </c>
      <c r="U438" s="10">
        <f>ABS(tblDonnées[[#This Row],[MONTANT DEPASSEMENT]]*0.005)</f>
        <v>0</v>
      </c>
      <c r="V438" s="33"/>
      <c r="W438" s="33"/>
      <c r="X438" s="33"/>
      <c r="Y438" s="33"/>
      <c r="Z438" s="33"/>
    </row>
    <row r="439" spans="1:26" x14ac:dyDescent="0.25">
      <c r="A439" s="33"/>
      <c r="B439" s="12"/>
      <c r="C439" s="33"/>
      <c r="D439" s="41"/>
      <c r="H439" s="21"/>
      <c r="I439" s="33"/>
      <c r="J439" s="42"/>
      <c r="K439" s="43"/>
      <c r="L439" s="44"/>
      <c r="M43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39" s="38">
        <f>tblDonnées[[#This Row],[MONTANT OPERATION]]+tblDonnées[[#This Row],[POS  FUSIONNEE CPTE AVANT OP]]</f>
        <v>0</v>
      </c>
      <c r="O439" s="17" t="str">
        <f>IF(ISBLANK(tblDonnées[[#This Row],[MONTANT AUTO]]), "N/A", ABS(tblDonnées[[#This Row],[POS  FUSIONNEE CPTE APRES OP]])-ABS(tblDonnées[[#This Row],[MONTANT AUTO]]))</f>
        <v>N/A</v>
      </c>
      <c r="P439" s="39" t="e">
        <f>tblDonnées[[#This Row],[DEPASSEMENT TOTAL SUR AUTO
]]/-tblDonnées[[#This Row],[MONTANT AUTO]]</f>
        <v>#VALUE!</v>
      </c>
      <c r="Q439" s="33"/>
      <c r="R439" s="33"/>
      <c r="S439" s="33"/>
      <c r="T439" s="40">
        <f>IF(tblDonnées[[#This Row],[0,5% du dép]]&lt;5000,5000,IF(tblDonnées[[#This Row],[0,5% du dép]]&gt;50000,50000,tblDonnées[[#This Row],[0,5% du dép]]))</f>
        <v>5000</v>
      </c>
      <c r="U439" s="10">
        <f>ABS(tblDonnées[[#This Row],[MONTANT DEPASSEMENT]]*0.005)</f>
        <v>0</v>
      </c>
      <c r="V439" s="33"/>
      <c r="W439" s="33"/>
      <c r="X439" s="33"/>
      <c r="Y439" s="33"/>
      <c r="Z439" s="33"/>
    </row>
    <row r="440" spans="1:26" x14ac:dyDescent="0.25">
      <c r="A440" s="33"/>
      <c r="B440" s="12"/>
      <c r="C440" s="33"/>
      <c r="D440" s="41"/>
      <c r="H440" s="21"/>
      <c r="I440" s="33"/>
      <c r="J440" s="42"/>
      <c r="K440" s="43"/>
      <c r="L440" s="44"/>
      <c r="M44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40" s="38">
        <f>tblDonnées[[#This Row],[MONTANT OPERATION]]+tblDonnées[[#This Row],[POS  FUSIONNEE CPTE AVANT OP]]</f>
        <v>0</v>
      </c>
      <c r="O440" s="17" t="str">
        <f>IF(ISBLANK(tblDonnées[[#This Row],[MONTANT AUTO]]), "N/A", ABS(tblDonnées[[#This Row],[POS  FUSIONNEE CPTE APRES OP]])-ABS(tblDonnées[[#This Row],[MONTANT AUTO]]))</f>
        <v>N/A</v>
      </c>
      <c r="P440" s="39" t="e">
        <f>tblDonnées[[#This Row],[DEPASSEMENT TOTAL SUR AUTO
]]/-tblDonnées[[#This Row],[MONTANT AUTO]]</f>
        <v>#VALUE!</v>
      </c>
      <c r="Q440" s="33"/>
      <c r="R440" s="33"/>
      <c r="S440" s="33"/>
      <c r="T440" s="40">
        <f>IF(tblDonnées[[#This Row],[0,5% du dép]]&lt;5000,5000,IF(tblDonnées[[#This Row],[0,5% du dép]]&gt;50000,50000,tblDonnées[[#This Row],[0,5% du dép]]))</f>
        <v>5000</v>
      </c>
      <c r="U440" s="10">
        <f>ABS(tblDonnées[[#This Row],[MONTANT DEPASSEMENT]]*0.005)</f>
        <v>0</v>
      </c>
      <c r="V440" s="33"/>
      <c r="W440" s="33"/>
      <c r="X440" s="33"/>
      <c r="Y440" s="33"/>
      <c r="Z440" s="33"/>
    </row>
    <row r="441" spans="1:26" x14ac:dyDescent="0.25">
      <c r="A441" s="33"/>
      <c r="B441" s="12"/>
      <c r="C441" s="33"/>
      <c r="D441" s="41"/>
      <c r="H441" s="21"/>
      <c r="I441" s="33"/>
      <c r="J441" s="42"/>
      <c r="K441" s="43"/>
      <c r="L441" s="44"/>
      <c r="M44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41" s="38">
        <f>tblDonnées[[#This Row],[MONTANT OPERATION]]+tblDonnées[[#This Row],[POS  FUSIONNEE CPTE AVANT OP]]</f>
        <v>0</v>
      </c>
      <c r="O441" s="17" t="str">
        <f>IF(ISBLANK(tblDonnées[[#This Row],[MONTANT AUTO]]), "N/A", ABS(tblDonnées[[#This Row],[POS  FUSIONNEE CPTE APRES OP]])-ABS(tblDonnées[[#This Row],[MONTANT AUTO]]))</f>
        <v>N/A</v>
      </c>
      <c r="P441" s="39" t="e">
        <f>tblDonnées[[#This Row],[DEPASSEMENT TOTAL SUR AUTO
]]/-tblDonnées[[#This Row],[MONTANT AUTO]]</f>
        <v>#VALUE!</v>
      </c>
      <c r="Q441" s="33"/>
      <c r="R441" s="33"/>
      <c r="S441" s="33"/>
      <c r="T441" s="40">
        <f>IF(tblDonnées[[#This Row],[0,5% du dép]]&lt;5000,5000,IF(tblDonnées[[#This Row],[0,5% du dép]]&gt;50000,50000,tblDonnées[[#This Row],[0,5% du dép]]))</f>
        <v>5000</v>
      </c>
      <c r="U441" s="10">
        <f>ABS(tblDonnées[[#This Row],[MONTANT DEPASSEMENT]]*0.005)</f>
        <v>0</v>
      </c>
      <c r="V441" s="33"/>
      <c r="W441" s="33"/>
      <c r="X441" s="33"/>
      <c r="Y441" s="33"/>
      <c r="Z441" s="33"/>
    </row>
    <row r="442" spans="1:26" x14ac:dyDescent="0.25">
      <c r="A442" s="33"/>
      <c r="B442" s="12"/>
      <c r="C442" s="33"/>
      <c r="D442" s="41"/>
      <c r="H442" s="21"/>
      <c r="I442" s="33"/>
      <c r="J442" s="42"/>
      <c r="K442" s="43"/>
      <c r="L442" s="44"/>
      <c r="M44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42" s="38">
        <f>tblDonnées[[#This Row],[MONTANT OPERATION]]+tblDonnées[[#This Row],[POS  FUSIONNEE CPTE AVANT OP]]</f>
        <v>0</v>
      </c>
      <c r="O442" s="17" t="str">
        <f>IF(ISBLANK(tblDonnées[[#This Row],[MONTANT AUTO]]), "N/A", ABS(tblDonnées[[#This Row],[POS  FUSIONNEE CPTE APRES OP]])-ABS(tblDonnées[[#This Row],[MONTANT AUTO]]))</f>
        <v>N/A</v>
      </c>
      <c r="P442" s="39" t="e">
        <f>tblDonnées[[#This Row],[DEPASSEMENT TOTAL SUR AUTO
]]/-tblDonnées[[#This Row],[MONTANT AUTO]]</f>
        <v>#VALUE!</v>
      </c>
      <c r="Q442" s="33"/>
      <c r="R442" s="33"/>
      <c r="S442" s="33"/>
      <c r="T442" s="40">
        <f>IF(tblDonnées[[#This Row],[0,5% du dép]]&lt;5000,5000,IF(tblDonnées[[#This Row],[0,5% du dép]]&gt;50000,50000,tblDonnées[[#This Row],[0,5% du dép]]))</f>
        <v>5000</v>
      </c>
      <c r="U442" s="10">
        <f>ABS(tblDonnées[[#This Row],[MONTANT DEPASSEMENT]]*0.005)</f>
        <v>0</v>
      </c>
      <c r="V442" s="33"/>
      <c r="W442" s="33"/>
      <c r="X442" s="33"/>
      <c r="Y442" s="33"/>
      <c r="Z442" s="33"/>
    </row>
    <row r="443" spans="1:26" x14ac:dyDescent="0.25">
      <c r="A443" s="33"/>
      <c r="B443" s="12"/>
      <c r="C443" s="33"/>
      <c r="D443" s="41"/>
      <c r="H443" s="21"/>
      <c r="I443" s="33"/>
      <c r="J443" s="42"/>
      <c r="K443" s="43"/>
      <c r="L443" s="44"/>
      <c r="M44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43" s="38">
        <f>tblDonnées[[#This Row],[MONTANT OPERATION]]+tblDonnées[[#This Row],[POS  FUSIONNEE CPTE AVANT OP]]</f>
        <v>0</v>
      </c>
      <c r="O443" s="17" t="str">
        <f>IF(ISBLANK(tblDonnées[[#This Row],[MONTANT AUTO]]), "N/A", ABS(tblDonnées[[#This Row],[POS  FUSIONNEE CPTE APRES OP]])-ABS(tblDonnées[[#This Row],[MONTANT AUTO]]))</f>
        <v>N/A</v>
      </c>
      <c r="P443" s="39" t="e">
        <f>tblDonnées[[#This Row],[DEPASSEMENT TOTAL SUR AUTO
]]/-tblDonnées[[#This Row],[MONTANT AUTO]]</f>
        <v>#VALUE!</v>
      </c>
      <c r="Q443" s="33"/>
      <c r="R443" s="33"/>
      <c r="S443" s="33"/>
      <c r="T443" s="40">
        <f>IF(tblDonnées[[#This Row],[0,5% du dép]]&lt;5000,5000,IF(tblDonnées[[#This Row],[0,5% du dép]]&gt;50000,50000,tblDonnées[[#This Row],[0,5% du dép]]))</f>
        <v>5000</v>
      </c>
      <c r="U443" s="10">
        <f>ABS(tblDonnées[[#This Row],[MONTANT DEPASSEMENT]]*0.005)</f>
        <v>0</v>
      </c>
      <c r="V443" s="33"/>
      <c r="W443" s="33"/>
      <c r="X443" s="33"/>
      <c r="Y443" s="33"/>
      <c r="Z443" s="33"/>
    </row>
    <row r="444" spans="1:26" x14ac:dyDescent="0.25">
      <c r="A444" s="33"/>
      <c r="B444" s="12"/>
      <c r="C444" s="33"/>
      <c r="D444" s="41"/>
      <c r="H444" s="21"/>
      <c r="I444" s="33"/>
      <c r="J444" s="42"/>
      <c r="K444" s="43"/>
      <c r="L444" s="44"/>
      <c r="M44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44" s="38">
        <f>tblDonnées[[#This Row],[MONTANT OPERATION]]+tblDonnées[[#This Row],[POS  FUSIONNEE CPTE AVANT OP]]</f>
        <v>0</v>
      </c>
      <c r="O444" s="17" t="str">
        <f>IF(ISBLANK(tblDonnées[[#This Row],[MONTANT AUTO]]), "N/A", ABS(tblDonnées[[#This Row],[POS  FUSIONNEE CPTE APRES OP]])-ABS(tblDonnées[[#This Row],[MONTANT AUTO]]))</f>
        <v>N/A</v>
      </c>
      <c r="P444" s="39" t="e">
        <f>tblDonnées[[#This Row],[DEPASSEMENT TOTAL SUR AUTO
]]/-tblDonnées[[#This Row],[MONTANT AUTO]]</f>
        <v>#VALUE!</v>
      </c>
      <c r="Q444" s="33"/>
      <c r="R444" s="33"/>
      <c r="S444" s="33"/>
      <c r="T444" s="40">
        <f>IF(tblDonnées[[#This Row],[0,5% du dép]]&lt;5000,5000,IF(tblDonnées[[#This Row],[0,5% du dép]]&gt;50000,50000,tblDonnées[[#This Row],[0,5% du dép]]))</f>
        <v>5000</v>
      </c>
      <c r="U444" s="10">
        <f>ABS(tblDonnées[[#This Row],[MONTANT DEPASSEMENT]]*0.005)</f>
        <v>0</v>
      </c>
      <c r="V444" s="33"/>
      <c r="W444" s="33"/>
      <c r="X444" s="33"/>
      <c r="Y444" s="33"/>
      <c r="Z444" s="33"/>
    </row>
    <row r="445" spans="1:26" x14ac:dyDescent="0.25">
      <c r="A445" s="33"/>
      <c r="B445" s="12"/>
      <c r="C445" s="33"/>
      <c r="D445" s="41"/>
      <c r="H445" s="21"/>
      <c r="I445" s="33"/>
      <c r="J445" s="42"/>
      <c r="K445" s="43"/>
      <c r="L445" s="44"/>
      <c r="M44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45" s="38">
        <f>tblDonnées[[#This Row],[MONTANT OPERATION]]+tblDonnées[[#This Row],[POS  FUSIONNEE CPTE AVANT OP]]</f>
        <v>0</v>
      </c>
      <c r="O445" s="17" t="str">
        <f>IF(ISBLANK(tblDonnées[[#This Row],[MONTANT AUTO]]), "N/A", ABS(tblDonnées[[#This Row],[POS  FUSIONNEE CPTE APRES OP]])-ABS(tblDonnées[[#This Row],[MONTANT AUTO]]))</f>
        <v>N/A</v>
      </c>
      <c r="P445" s="39" t="e">
        <f>tblDonnées[[#This Row],[DEPASSEMENT TOTAL SUR AUTO
]]/-tblDonnées[[#This Row],[MONTANT AUTO]]</f>
        <v>#VALUE!</v>
      </c>
      <c r="Q445" s="33"/>
      <c r="R445" s="33"/>
      <c r="S445" s="33"/>
      <c r="T445" s="40">
        <f>IF(tblDonnées[[#This Row],[0,5% du dép]]&lt;5000,5000,IF(tblDonnées[[#This Row],[0,5% du dép]]&gt;50000,50000,tblDonnées[[#This Row],[0,5% du dép]]))</f>
        <v>5000</v>
      </c>
      <c r="U445" s="10">
        <f>ABS(tblDonnées[[#This Row],[MONTANT DEPASSEMENT]]*0.005)</f>
        <v>0</v>
      </c>
      <c r="V445" s="33"/>
      <c r="W445" s="33"/>
      <c r="X445" s="33"/>
      <c r="Y445" s="33"/>
      <c r="Z445" s="33"/>
    </row>
    <row r="446" spans="1:26" x14ac:dyDescent="0.25">
      <c r="A446" s="33"/>
      <c r="B446" s="12"/>
      <c r="C446" s="33"/>
      <c r="D446" s="41"/>
      <c r="H446" s="21"/>
      <c r="I446" s="33"/>
      <c r="J446" s="42"/>
      <c r="K446" s="43"/>
      <c r="L446" s="44"/>
      <c r="M44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46" s="38">
        <f>tblDonnées[[#This Row],[MONTANT OPERATION]]+tblDonnées[[#This Row],[POS  FUSIONNEE CPTE AVANT OP]]</f>
        <v>0</v>
      </c>
      <c r="O446" s="17" t="str">
        <f>IF(ISBLANK(tblDonnées[[#This Row],[MONTANT AUTO]]), "N/A", ABS(tblDonnées[[#This Row],[POS  FUSIONNEE CPTE APRES OP]])-ABS(tblDonnées[[#This Row],[MONTANT AUTO]]))</f>
        <v>N/A</v>
      </c>
      <c r="P446" s="39" t="e">
        <f>tblDonnées[[#This Row],[DEPASSEMENT TOTAL SUR AUTO
]]/-tblDonnées[[#This Row],[MONTANT AUTO]]</f>
        <v>#VALUE!</v>
      </c>
      <c r="Q446" s="33"/>
      <c r="R446" s="33"/>
      <c r="S446" s="33"/>
      <c r="T446" s="40">
        <f>IF(tblDonnées[[#This Row],[0,5% du dép]]&lt;5000,5000,IF(tblDonnées[[#This Row],[0,5% du dép]]&gt;50000,50000,tblDonnées[[#This Row],[0,5% du dép]]))</f>
        <v>5000</v>
      </c>
      <c r="U446" s="10">
        <f>ABS(tblDonnées[[#This Row],[MONTANT DEPASSEMENT]]*0.005)</f>
        <v>0</v>
      </c>
      <c r="V446" s="33"/>
      <c r="W446" s="33"/>
      <c r="X446" s="33"/>
      <c r="Y446" s="33"/>
      <c r="Z446" s="33"/>
    </row>
    <row r="447" spans="1:26" x14ac:dyDescent="0.25">
      <c r="A447" s="33"/>
      <c r="B447" s="12"/>
      <c r="C447" s="33"/>
      <c r="D447" s="41"/>
      <c r="H447" s="21"/>
      <c r="I447" s="33"/>
      <c r="J447" s="42"/>
      <c r="K447" s="43"/>
      <c r="L447" s="44"/>
      <c r="M44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47" s="38">
        <f>tblDonnées[[#This Row],[MONTANT OPERATION]]+tblDonnées[[#This Row],[POS  FUSIONNEE CPTE AVANT OP]]</f>
        <v>0</v>
      </c>
      <c r="O447" s="17" t="str">
        <f>IF(ISBLANK(tblDonnées[[#This Row],[MONTANT AUTO]]), "N/A", ABS(tblDonnées[[#This Row],[POS  FUSIONNEE CPTE APRES OP]])-ABS(tblDonnées[[#This Row],[MONTANT AUTO]]))</f>
        <v>N/A</v>
      </c>
      <c r="P447" s="39" t="e">
        <f>tblDonnées[[#This Row],[DEPASSEMENT TOTAL SUR AUTO
]]/-tblDonnées[[#This Row],[MONTANT AUTO]]</f>
        <v>#VALUE!</v>
      </c>
      <c r="Q447" s="33"/>
      <c r="R447" s="33"/>
      <c r="S447" s="33"/>
      <c r="T447" s="40">
        <f>IF(tblDonnées[[#This Row],[0,5% du dép]]&lt;5000,5000,IF(tblDonnées[[#This Row],[0,5% du dép]]&gt;50000,50000,tblDonnées[[#This Row],[0,5% du dép]]))</f>
        <v>5000</v>
      </c>
      <c r="U447" s="10">
        <f>ABS(tblDonnées[[#This Row],[MONTANT DEPASSEMENT]]*0.005)</f>
        <v>0</v>
      </c>
      <c r="V447" s="33"/>
      <c r="W447" s="33"/>
      <c r="X447" s="33"/>
      <c r="Y447" s="33"/>
      <c r="Z447" s="33"/>
    </row>
    <row r="448" spans="1:26" x14ac:dyDescent="0.25">
      <c r="A448" s="33"/>
      <c r="B448" s="12"/>
      <c r="C448" s="33"/>
      <c r="D448" s="41"/>
      <c r="H448" s="21"/>
      <c r="I448" s="33"/>
      <c r="J448" s="42"/>
      <c r="K448" s="43"/>
      <c r="L448" s="44"/>
      <c r="M44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48" s="38">
        <f>tblDonnées[[#This Row],[MONTANT OPERATION]]+tblDonnées[[#This Row],[POS  FUSIONNEE CPTE AVANT OP]]</f>
        <v>0</v>
      </c>
      <c r="O448" s="17" t="str">
        <f>IF(ISBLANK(tblDonnées[[#This Row],[MONTANT AUTO]]), "N/A", ABS(tblDonnées[[#This Row],[POS  FUSIONNEE CPTE APRES OP]])-ABS(tblDonnées[[#This Row],[MONTANT AUTO]]))</f>
        <v>N/A</v>
      </c>
      <c r="P448" s="39" t="e">
        <f>tblDonnées[[#This Row],[DEPASSEMENT TOTAL SUR AUTO
]]/-tblDonnées[[#This Row],[MONTANT AUTO]]</f>
        <v>#VALUE!</v>
      </c>
      <c r="Q448" s="33"/>
      <c r="R448" s="33"/>
      <c r="S448" s="33"/>
      <c r="T448" s="40">
        <f>IF(tblDonnées[[#This Row],[0,5% du dép]]&lt;5000,5000,IF(tblDonnées[[#This Row],[0,5% du dép]]&gt;50000,50000,tblDonnées[[#This Row],[0,5% du dép]]))</f>
        <v>5000</v>
      </c>
      <c r="U448" s="10">
        <f>ABS(tblDonnées[[#This Row],[MONTANT DEPASSEMENT]]*0.005)</f>
        <v>0</v>
      </c>
      <c r="V448" s="33"/>
      <c r="W448" s="33"/>
      <c r="X448" s="33"/>
      <c r="Y448" s="33"/>
      <c r="Z448" s="33"/>
    </row>
    <row r="449" spans="1:26" x14ac:dyDescent="0.25">
      <c r="A449" s="33"/>
      <c r="B449" s="12"/>
      <c r="C449" s="33"/>
      <c r="D449" s="41"/>
      <c r="H449" s="21"/>
      <c r="I449" s="33"/>
      <c r="J449" s="42"/>
      <c r="K449" s="43"/>
      <c r="L449" s="44"/>
      <c r="M44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49" s="38">
        <f>tblDonnées[[#This Row],[MONTANT OPERATION]]+tblDonnées[[#This Row],[POS  FUSIONNEE CPTE AVANT OP]]</f>
        <v>0</v>
      </c>
      <c r="O449" s="17" t="str">
        <f>IF(ISBLANK(tblDonnées[[#This Row],[MONTANT AUTO]]), "N/A", ABS(tblDonnées[[#This Row],[POS  FUSIONNEE CPTE APRES OP]])-ABS(tblDonnées[[#This Row],[MONTANT AUTO]]))</f>
        <v>N/A</v>
      </c>
      <c r="P449" s="39" t="e">
        <f>tblDonnées[[#This Row],[DEPASSEMENT TOTAL SUR AUTO
]]/-tblDonnées[[#This Row],[MONTANT AUTO]]</f>
        <v>#VALUE!</v>
      </c>
      <c r="Q449" s="33"/>
      <c r="R449" s="33"/>
      <c r="S449" s="33"/>
      <c r="T449" s="40">
        <f>IF(tblDonnées[[#This Row],[0,5% du dép]]&lt;5000,5000,IF(tblDonnées[[#This Row],[0,5% du dép]]&gt;50000,50000,tblDonnées[[#This Row],[0,5% du dép]]))</f>
        <v>5000</v>
      </c>
      <c r="U449" s="10">
        <f>ABS(tblDonnées[[#This Row],[MONTANT DEPASSEMENT]]*0.005)</f>
        <v>0</v>
      </c>
      <c r="V449" s="33"/>
      <c r="W449" s="33"/>
      <c r="X449" s="33"/>
      <c r="Y449" s="33"/>
      <c r="Z449" s="33"/>
    </row>
    <row r="450" spans="1:26" x14ac:dyDescent="0.25">
      <c r="A450" s="33"/>
      <c r="B450" s="12"/>
      <c r="C450" s="33"/>
      <c r="D450" s="41"/>
      <c r="H450" s="21"/>
      <c r="I450" s="33"/>
      <c r="J450" s="42"/>
      <c r="K450" s="43"/>
      <c r="L450" s="44"/>
      <c r="M45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50" s="38">
        <f>tblDonnées[[#This Row],[MONTANT OPERATION]]+tblDonnées[[#This Row],[POS  FUSIONNEE CPTE AVANT OP]]</f>
        <v>0</v>
      </c>
      <c r="O450" s="17" t="str">
        <f>IF(ISBLANK(tblDonnées[[#This Row],[MONTANT AUTO]]), "N/A", ABS(tblDonnées[[#This Row],[POS  FUSIONNEE CPTE APRES OP]])-ABS(tblDonnées[[#This Row],[MONTANT AUTO]]))</f>
        <v>N/A</v>
      </c>
      <c r="P450" s="39" t="e">
        <f>tblDonnées[[#This Row],[DEPASSEMENT TOTAL SUR AUTO
]]/-tblDonnées[[#This Row],[MONTANT AUTO]]</f>
        <v>#VALUE!</v>
      </c>
      <c r="Q450" s="33"/>
      <c r="R450" s="33"/>
      <c r="S450" s="33"/>
      <c r="T450" s="40">
        <f>IF(tblDonnées[[#This Row],[0,5% du dép]]&lt;5000,5000,IF(tblDonnées[[#This Row],[0,5% du dép]]&gt;50000,50000,tblDonnées[[#This Row],[0,5% du dép]]))</f>
        <v>5000</v>
      </c>
      <c r="U450" s="10">
        <f>ABS(tblDonnées[[#This Row],[MONTANT DEPASSEMENT]]*0.005)</f>
        <v>0</v>
      </c>
      <c r="V450" s="33"/>
      <c r="W450" s="33"/>
      <c r="X450" s="33"/>
      <c r="Y450" s="33"/>
      <c r="Z450" s="33"/>
    </row>
    <row r="451" spans="1:26" x14ac:dyDescent="0.25">
      <c r="A451" s="33"/>
      <c r="B451" s="12"/>
      <c r="C451" s="33"/>
      <c r="D451" s="41"/>
      <c r="H451" s="21"/>
      <c r="I451" s="33"/>
      <c r="J451" s="42"/>
      <c r="K451" s="43"/>
      <c r="L451" s="44"/>
      <c r="M45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51" s="38">
        <f>tblDonnées[[#This Row],[MONTANT OPERATION]]+tblDonnées[[#This Row],[POS  FUSIONNEE CPTE AVANT OP]]</f>
        <v>0</v>
      </c>
      <c r="O451" s="17" t="str">
        <f>IF(ISBLANK(tblDonnées[[#This Row],[MONTANT AUTO]]), "N/A", ABS(tblDonnées[[#This Row],[POS  FUSIONNEE CPTE APRES OP]])-ABS(tblDonnées[[#This Row],[MONTANT AUTO]]))</f>
        <v>N/A</v>
      </c>
      <c r="P451" s="39" t="e">
        <f>tblDonnées[[#This Row],[DEPASSEMENT TOTAL SUR AUTO
]]/-tblDonnées[[#This Row],[MONTANT AUTO]]</f>
        <v>#VALUE!</v>
      </c>
      <c r="Q451" s="33"/>
      <c r="R451" s="33"/>
      <c r="S451" s="33"/>
      <c r="T451" s="40">
        <f>IF(tblDonnées[[#This Row],[0,5% du dép]]&lt;5000,5000,IF(tblDonnées[[#This Row],[0,5% du dép]]&gt;50000,50000,tblDonnées[[#This Row],[0,5% du dép]]))</f>
        <v>5000</v>
      </c>
      <c r="U451" s="10">
        <f>ABS(tblDonnées[[#This Row],[MONTANT DEPASSEMENT]]*0.005)</f>
        <v>0</v>
      </c>
      <c r="V451" s="33"/>
      <c r="W451" s="33"/>
      <c r="X451" s="33"/>
      <c r="Y451" s="33"/>
      <c r="Z451" s="33"/>
    </row>
    <row r="452" spans="1:26" x14ac:dyDescent="0.25">
      <c r="A452" s="33"/>
      <c r="B452" s="12"/>
      <c r="C452" s="33"/>
      <c r="D452" s="41"/>
      <c r="H452" s="21"/>
      <c r="I452" s="33"/>
      <c r="J452" s="42"/>
      <c r="K452" s="43"/>
      <c r="L452" s="44"/>
      <c r="M45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52" s="38">
        <f>tblDonnées[[#This Row],[MONTANT OPERATION]]+tblDonnées[[#This Row],[POS  FUSIONNEE CPTE AVANT OP]]</f>
        <v>0</v>
      </c>
      <c r="O452" s="17" t="str">
        <f>IF(ISBLANK(tblDonnées[[#This Row],[MONTANT AUTO]]), "N/A", ABS(tblDonnées[[#This Row],[POS  FUSIONNEE CPTE APRES OP]])-ABS(tblDonnées[[#This Row],[MONTANT AUTO]]))</f>
        <v>N/A</v>
      </c>
      <c r="P452" s="39" t="e">
        <f>tblDonnées[[#This Row],[DEPASSEMENT TOTAL SUR AUTO
]]/-tblDonnées[[#This Row],[MONTANT AUTO]]</f>
        <v>#VALUE!</v>
      </c>
      <c r="Q452" s="33"/>
      <c r="R452" s="33"/>
      <c r="S452" s="33"/>
      <c r="T452" s="40">
        <f>IF(tblDonnées[[#This Row],[0,5% du dép]]&lt;5000,5000,IF(tblDonnées[[#This Row],[0,5% du dép]]&gt;50000,50000,tblDonnées[[#This Row],[0,5% du dép]]))</f>
        <v>5000</v>
      </c>
      <c r="U452" s="10">
        <f>ABS(tblDonnées[[#This Row],[MONTANT DEPASSEMENT]]*0.005)</f>
        <v>0</v>
      </c>
      <c r="V452" s="33"/>
      <c r="W452" s="33"/>
      <c r="X452" s="33"/>
      <c r="Y452" s="33"/>
      <c r="Z452" s="33"/>
    </row>
    <row r="453" spans="1:26" x14ac:dyDescent="0.25">
      <c r="A453" s="33"/>
      <c r="B453" s="12"/>
      <c r="C453" s="33"/>
      <c r="D453" s="41"/>
      <c r="H453" s="21"/>
      <c r="I453" s="33"/>
      <c r="J453" s="42"/>
      <c r="K453" s="43"/>
      <c r="L453" s="44"/>
      <c r="M45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53" s="38">
        <f>tblDonnées[[#This Row],[MONTANT OPERATION]]+tblDonnées[[#This Row],[POS  FUSIONNEE CPTE AVANT OP]]</f>
        <v>0</v>
      </c>
      <c r="O453" s="17" t="str">
        <f>IF(ISBLANK(tblDonnées[[#This Row],[MONTANT AUTO]]), "N/A", ABS(tblDonnées[[#This Row],[POS  FUSIONNEE CPTE APRES OP]])-ABS(tblDonnées[[#This Row],[MONTANT AUTO]]))</f>
        <v>N/A</v>
      </c>
      <c r="P453" s="39" t="e">
        <f>tblDonnées[[#This Row],[DEPASSEMENT TOTAL SUR AUTO
]]/-tblDonnées[[#This Row],[MONTANT AUTO]]</f>
        <v>#VALUE!</v>
      </c>
      <c r="Q453" s="33"/>
      <c r="R453" s="33"/>
      <c r="S453" s="33"/>
      <c r="T453" s="40">
        <f>IF(tblDonnées[[#This Row],[0,5% du dép]]&lt;5000,5000,IF(tblDonnées[[#This Row],[0,5% du dép]]&gt;50000,50000,tblDonnées[[#This Row],[0,5% du dép]]))</f>
        <v>5000</v>
      </c>
      <c r="U453" s="10">
        <f>ABS(tblDonnées[[#This Row],[MONTANT DEPASSEMENT]]*0.005)</f>
        <v>0</v>
      </c>
      <c r="V453" s="33"/>
      <c r="W453" s="33"/>
      <c r="X453" s="33"/>
      <c r="Y453" s="33"/>
      <c r="Z453" s="33"/>
    </row>
    <row r="454" spans="1:26" x14ac:dyDescent="0.25">
      <c r="A454" s="33"/>
      <c r="B454" s="12"/>
      <c r="C454" s="33"/>
      <c r="D454" s="41"/>
      <c r="H454" s="21"/>
      <c r="I454" s="33"/>
      <c r="J454" s="42"/>
      <c r="K454" s="43"/>
      <c r="L454" s="44"/>
      <c r="M45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54" s="38">
        <f>tblDonnées[[#This Row],[MONTANT OPERATION]]+tblDonnées[[#This Row],[POS  FUSIONNEE CPTE AVANT OP]]</f>
        <v>0</v>
      </c>
      <c r="O454" s="17" t="str">
        <f>IF(ISBLANK(tblDonnées[[#This Row],[MONTANT AUTO]]), "N/A", ABS(tblDonnées[[#This Row],[POS  FUSIONNEE CPTE APRES OP]])-ABS(tblDonnées[[#This Row],[MONTANT AUTO]]))</f>
        <v>N/A</v>
      </c>
      <c r="P454" s="39" t="e">
        <f>tblDonnées[[#This Row],[DEPASSEMENT TOTAL SUR AUTO
]]/-tblDonnées[[#This Row],[MONTANT AUTO]]</f>
        <v>#VALUE!</v>
      </c>
      <c r="Q454" s="33"/>
      <c r="R454" s="33"/>
      <c r="S454" s="33"/>
      <c r="T454" s="40">
        <f>IF(tblDonnées[[#This Row],[0,5% du dép]]&lt;5000,5000,IF(tblDonnées[[#This Row],[0,5% du dép]]&gt;50000,50000,tblDonnées[[#This Row],[0,5% du dép]]))</f>
        <v>5000</v>
      </c>
      <c r="U454" s="10">
        <f>ABS(tblDonnées[[#This Row],[MONTANT DEPASSEMENT]]*0.005)</f>
        <v>0</v>
      </c>
      <c r="V454" s="33"/>
      <c r="W454" s="33"/>
      <c r="X454" s="33"/>
      <c r="Y454" s="33"/>
      <c r="Z454" s="33"/>
    </row>
    <row r="455" spans="1:26" x14ac:dyDescent="0.25">
      <c r="A455" s="33"/>
      <c r="B455" s="12"/>
      <c r="C455" s="33"/>
      <c r="D455" s="41"/>
      <c r="H455" s="21"/>
      <c r="I455" s="33"/>
      <c r="J455" s="42"/>
      <c r="K455" s="43"/>
      <c r="L455" s="44"/>
      <c r="M45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55" s="38">
        <f>tblDonnées[[#This Row],[MONTANT OPERATION]]+tblDonnées[[#This Row],[POS  FUSIONNEE CPTE AVANT OP]]</f>
        <v>0</v>
      </c>
      <c r="O455" s="17" t="str">
        <f>IF(ISBLANK(tblDonnées[[#This Row],[MONTANT AUTO]]), "N/A", ABS(tblDonnées[[#This Row],[POS  FUSIONNEE CPTE APRES OP]])-ABS(tblDonnées[[#This Row],[MONTANT AUTO]]))</f>
        <v>N/A</v>
      </c>
      <c r="P455" s="39" t="e">
        <f>tblDonnées[[#This Row],[DEPASSEMENT TOTAL SUR AUTO
]]/-tblDonnées[[#This Row],[MONTANT AUTO]]</f>
        <v>#VALUE!</v>
      </c>
      <c r="Q455" s="33"/>
      <c r="R455" s="33"/>
      <c r="S455" s="33"/>
      <c r="T455" s="40">
        <f>IF(tblDonnées[[#This Row],[0,5% du dép]]&lt;5000,5000,IF(tblDonnées[[#This Row],[0,5% du dép]]&gt;50000,50000,tblDonnées[[#This Row],[0,5% du dép]]))</f>
        <v>5000</v>
      </c>
      <c r="U455" s="10">
        <f>ABS(tblDonnées[[#This Row],[MONTANT DEPASSEMENT]]*0.005)</f>
        <v>0</v>
      </c>
      <c r="V455" s="33"/>
      <c r="W455" s="33"/>
      <c r="X455" s="33"/>
      <c r="Y455" s="33"/>
      <c r="Z455" s="33"/>
    </row>
    <row r="456" spans="1:26" x14ac:dyDescent="0.25">
      <c r="A456" s="33"/>
      <c r="B456" s="12"/>
      <c r="C456" s="33"/>
      <c r="D456" s="41"/>
      <c r="H456" s="21"/>
      <c r="I456" s="33"/>
      <c r="J456" s="42"/>
      <c r="K456" s="43"/>
      <c r="L456" s="44"/>
      <c r="M45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56" s="38">
        <f>tblDonnées[[#This Row],[MONTANT OPERATION]]+tblDonnées[[#This Row],[POS  FUSIONNEE CPTE AVANT OP]]</f>
        <v>0</v>
      </c>
      <c r="O456" s="17" t="str">
        <f>IF(ISBLANK(tblDonnées[[#This Row],[MONTANT AUTO]]), "N/A", ABS(tblDonnées[[#This Row],[POS  FUSIONNEE CPTE APRES OP]])-ABS(tblDonnées[[#This Row],[MONTANT AUTO]]))</f>
        <v>N/A</v>
      </c>
      <c r="P456" s="39" t="e">
        <f>tblDonnées[[#This Row],[DEPASSEMENT TOTAL SUR AUTO
]]/-tblDonnées[[#This Row],[MONTANT AUTO]]</f>
        <v>#VALUE!</v>
      </c>
      <c r="Q456" s="33"/>
      <c r="R456" s="33"/>
      <c r="S456" s="33"/>
      <c r="T456" s="40">
        <f>IF(tblDonnées[[#This Row],[0,5% du dép]]&lt;5000,5000,IF(tblDonnées[[#This Row],[0,5% du dép]]&gt;50000,50000,tblDonnées[[#This Row],[0,5% du dép]]))</f>
        <v>5000</v>
      </c>
      <c r="U456" s="10">
        <f>ABS(tblDonnées[[#This Row],[MONTANT DEPASSEMENT]]*0.005)</f>
        <v>0</v>
      </c>
      <c r="V456" s="33"/>
      <c r="W456" s="33"/>
      <c r="X456" s="33"/>
      <c r="Y456" s="33"/>
      <c r="Z456" s="33"/>
    </row>
    <row r="457" spans="1:26" x14ac:dyDescent="0.25">
      <c r="A457" s="33"/>
      <c r="B457" s="12"/>
      <c r="C457" s="33"/>
      <c r="D457" s="41"/>
      <c r="H457" s="21"/>
      <c r="I457" s="33"/>
      <c r="J457" s="42"/>
      <c r="K457" s="43"/>
      <c r="L457" s="44"/>
      <c r="M45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57" s="38">
        <f>tblDonnées[[#This Row],[MONTANT OPERATION]]+tblDonnées[[#This Row],[POS  FUSIONNEE CPTE AVANT OP]]</f>
        <v>0</v>
      </c>
      <c r="O457" s="17" t="str">
        <f>IF(ISBLANK(tblDonnées[[#This Row],[MONTANT AUTO]]), "N/A", ABS(tblDonnées[[#This Row],[POS  FUSIONNEE CPTE APRES OP]])-ABS(tblDonnées[[#This Row],[MONTANT AUTO]]))</f>
        <v>N/A</v>
      </c>
      <c r="P457" s="39" t="e">
        <f>tblDonnées[[#This Row],[DEPASSEMENT TOTAL SUR AUTO
]]/-tblDonnées[[#This Row],[MONTANT AUTO]]</f>
        <v>#VALUE!</v>
      </c>
      <c r="Q457" s="33"/>
      <c r="R457" s="33"/>
      <c r="S457" s="33"/>
      <c r="T457" s="40">
        <f>IF(tblDonnées[[#This Row],[0,5% du dép]]&lt;5000,5000,IF(tblDonnées[[#This Row],[0,5% du dép]]&gt;50000,50000,tblDonnées[[#This Row],[0,5% du dép]]))</f>
        <v>5000</v>
      </c>
      <c r="U457" s="10">
        <f>ABS(tblDonnées[[#This Row],[MONTANT DEPASSEMENT]]*0.005)</f>
        <v>0</v>
      </c>
      <c r="V457" s="33"/>
      <c r="W457" s="33"/>
      <c r="X457" s="33"/>
      <c r="Y457" s="33"/>
      <c r="Z457" s="33"/>
    </row>
    <row r="458" spans="1:26" x14ac:dyDescent="0.25">
      <c r="A458" s="33"/>
      <c r="B458" s="12"/>
      <c r="C458" s="33"/>
      <c r="D458" s="41"/>
      <c r="H458" s="21"/>
      <c r="I458" s="33"/>
      <c r="J458" s="42"/>
      <c r="K458" s="43"/>
      <c r="L458" s="44"/>
      <c r="M45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58" s="38">
        <f>tblDonnées[[#This Row],[MONTANT OPERATION]]+tblDonnées[[#This Row],[POS  FUSIONNEE CPTE AVANT OP]]</f>
        <v>0</v>
      </c>
      <c r="O458" s="17" t="str">
        <f>IF(ISBLANK(tblDonnées[[#This Row],[MONTANT AUTO]]), "N/A", ABS(tblDonnées[[#This Row],[POS  FUSIONNEE CPTE APRES OP]])-ABS(tblDonnées[[#This Row],[MONTANT AUTO]]))</f>
        <v>N/A</v>
      </c>
      <c r="P458" s="39" t="e">
        <f>tblDonnées[[#This Row],[DEPASSEMENT TOTAL SUR AUTO
]]/-tblDonnées[[#This Row],[MONTANT AUTO]]</f>
        <v>#VALUE!</v>
      </c>
      <c r="Q458" s="33"/>
      <c r="R458" s="33"/>
      <c r="S458" s="33"/>
      <c r="T458" s="40">
        <f>IF(tblDonnées[[#This Row],[0,5% du dép]]&lt;5000,5000,IF(tblDonnées[[#This Row],[0,5% du dép]]&gt;50000,50000,tblDonnées[[#This Row],[0,5% du dép]]))</f>
        <v>5000</v>
      </c>
      <c r="U458" s="10">
        <f>ABS(tblDonnées[[#This Row],[MONTANT DEPASSEMENT]]*0.005)</f>
        <v>0</v>
      </c>
      <c r="V458" s="33"/>
      <c r="W458" s="33"/>
      <c r="X458" s="33"/>
      <c r="Y458" s="33"/>
      <c r="Z458" s="33"/>
    </row>
    <row r="459" spans="1:26" x14ac:dyDescent="0.25">
      <c r="A459" s="33"/>
      <c r="B459" s="12"/>
      <c r="C459" s="33"/>
      <c r="D459" s="41"/>
      <c r="H459" s="21"/>
      <c r="I459" s="33"/>
      <c r="J459" s="42"/>
      <c r="K459" s="43"/>
      <c r="L459" s="44"/>
      <c r="M45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59" s="38">
        <f>tblDonnées[[#This Row],[MONTANT OPERATION]]+tblDonnées[[#This Row],[POS  FUSIONNEE CPTE AVANT OP]]</f>
        <v>0</v>
      </c>
      <c r="O459" s="17" t="str">
        <f>IF(ISBLANK(tblDonnées[[#This Row],[MONTANT AUTO]]), "N/A", ABS(tblDonnées[[#This Row],[POS  FUSIONNEE CPTE APRES OP]])-ABS(tblDonnées[[#This Row],[MONTANT AUTO]]))</f>
        <v>N/A</v>
      </c>
      <c r="P459" s="39" t="e">
        <f>tblDonnées[[#This Row],[DEPASSEMENT TOTAL SUR AUTO
]]/-tblDonnées[[#This Row],[MONTANT AUTO]]</f>
        <v>#VALUE!</v>
      </c>
      <c r="Q459" s="33"/>
      <c r="R459" s="33"/>
      <c r="S459" s="33"/>
      <c r="T459" s="40">
        <f>IF(tblDonnées[[#This Row],[0,5% du dép]]&lt;5000,5000,IF(tblDonnées[[#This Row],[0,5% du dép]]&gt;50000,50000,tblDonnées[[#This Row],[0,5% du dép]]))</f>
        <v>5000</v>
      </c>
      <c r="U459" s="10">
        <f>ABS(tblDonnées[[#This Row],[MONTANT DEPASSEMENT]]*0.005)</f>
        <v>0</v>
      </c>
      <c r="V459" s="33"/>
      <c r="W459" s="33"/>
      <c r="X459" s="33"/>
      <c r="Y459" s="33"/>
      <c r="Z459" s="33"/>
    </row>
    <row r="460" spans="1:26" x14ac:dyDescent="0.25">
      <c r="A460" s="33"/>
      <c r="B460" s="12"/>
      <c r="C460" s="33"/>
      <c r="D460" s="41"/>
      <c r="H460" s="21"/>
      <c r="I460" s="33"/>
      <c r="J460" s="42"/>
      <c r="K460" s="43"/>
      <c r="L460" s="44"/>
      <c r="M46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60" s="38">
        <f>tblDonnées[[#This Row],[MONTANT OPERATION]]+tblDonnées[[#This Row],[POS  FUSIONNEE CPTE AVANT OP]]</f>
        <v>0</v>
      </c>
      <c r="O460" s="17" t="str">
        <f>IF(ISBLANK(tblDonnées[[#This Row],[MONTANT AUTO]]), "N/A", ABS(tblDonnées[[#This Row],[POS  FUSIONNEE CPTE APRES OP]])-ABS(tblDonnées[[#This Row],[MONTANT AUTO]]))</f>
        <v>N/A</v>
      </c>
      <c r="P460" s="39" t="e">
        <f>tblDonnées[[#This Row],[DEPASSEMENT TOTAL SUR AUTO
]]/-tblDonnées[[#This Row],[MONTANT AUTO]]</f>
        <v>#VALUE!</v>
      </c>
      <c r="Q460" s="33"/>
      <c r="R460" s="33"/>
      <c r="S460" s="33"/>
      <c r="T460" s="40">
        <f>IF(tblDonnées[[#This Row],[0,5% du dép]]&lt;5000,5000,IF(tblDonnées[[#This Row],[0,5% du dép]]&gt;50000,50000,tblDonnées[[#This Row],[0,5% du dép]]))</f>
        <v>5000</v>
      </c>
      <c r="U460" s="10">
        <f>ABS(tblDonnées[[#This Row],[MONTANT DEPASSEMENT]]*0.005)</f>
        <v>0</v>
      </c>
      <c r="V460" s="33"/>
      <c r="W460" s="33"/>
      <c r="X460" s="33"/>
      <c r="Y460" s="33"/>
      <c r="Z460" s="33"/>
    </row>
    <row r="461" spans="1:26" x14ac:dyDescent="0.25">
      <c r="A461" s="33"/>
      <c r="B461" s="12"/>
      <c r="C461" s="33"/>
      <c r="D461" s="41"/>
      <c r="H461" s="21"/>
      <c r="I461" s="33"/>
      <c r="J461" s="42"/>
      <c r="K461" s="43"/>
      <c r="L461" s="44"/>
      <c r="M46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61" s="38">
        <f>tblDonnées[[#This Row],[MONTANT OPERATION]]+tblDonnées[[#This Row],[POS  FUSIONNEE CPTE AVANT OP]]</f>
        <v>0</v>
      </c>
      <c r="O461" s="17" t="str">
        <f>IF(ISBLANK(tblDonnées[[#This Row],[MONTANT AUTO]]), "N/A", ABS(tblDonnées[[#This Row],[POS  FUSIONNEE CPTE APRES OP]])-ABS(tblDonnées[[#This Row],[MONTANT AUTO]]))</f>
        <v>N/A</v>
      </c>
      <c r="P461" s="39" t="e">
        <f>tblDonnées[[#This Row],[DEPASSEMENT TOTAL SUR AUTO
]]/-tblDonnées[[#This Row],[MONTANT AUTO]]</f>
        <v>#VALUE!</v>
      </c>
      <c r="Q461" s="33"/>
      <c r="R461" s="33"/>
      <c r="S461" s="33"/>
      <c r="T461" s="40">
        <f>IF(tblDonnées[[#This Row],[0,5% du dép]]&lt;5000,5000,IF(tblDonnées[[#This Row],[0,5% du dép]]&gt;50000,50000,tblDonnées[[#This Row],[0,5% du dép]]))</f>
        <v>5000</v>
      </c>
      <c r="U461" s="10">
        <f>ABS(tblDonnées[[#This Row],[MONTANT DEPASSEMENT]]*0.005)</f>
        <v>0</v>
      </c>
      <c r="V461" s="33"/>
      <c r="W461" s="33"/>
      <c r="X461" s="33"/>
      <c r="Y461" s="33"/>
      <c r="Z461" s="33"/>
    </row>
    <row r="462" spans="1:26" x14ac:dyDescent="0.25">
      <c r="A462" s="33"/>
      <c r="B462" s="12"/>
      <c r="C462" s="33"/>
      <c r="D462" s="41"/>
      <c r="H462" s="21"/>
      <c r="I462" s="33"/>
      <c r="J462" s="42"/>
      <c r="K462" s="43"/>
      <c r="L462" s="44"/>
      <c r="M46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62" s="38">
        <f>tblDonnées[[#This Row],[MONTANT OPERATION]]+tblDonnées[[#This Row],[POS  FUSIONNEE CPTE AVANT OP]]</f>
        <v>0</v>
      </c>
      <c r="O462" s="17" t="str">
        <f>IF(ISBLANK(tblDonnées[[#This Row],[MONTANT AUTO]]), "N/A", ABS(tblDonnées[[#This Row],[POS  FUSIONNEE CPTE APRES OP]])-ABS(tblDonnées[[#This Row],[MONTANT AUTO]]))</f>
        <v>N/A</v>
      </c>
      <c r="P462" s="39" t="e">
        <f>tblDonnées[[#This Row],[DEPASSEMENT TOTAL SUR AUTO
]]/-tblDonnées[[#This Row],[MONTANT AUTO]]</f>
        <v>#VALUE!</v>
      </c>
      <c r="Q462" s="33"/>
      <c r="R462" s="33"/>
      <c r="S462" s="33"/>
      <c r="T462" s="40">
        <f>IF(tblDonnées[[#This Row],[0,5% du dép]]&lt;5000,5000,IF(tblDonnées[[#This Row],[0,5% du dép]]&gt;50000,50000,tblDonnées[[#This Row],[0,5% du dép]]))</f>
        <v>5000</v>
      </c>
      <c r="U462" s="10">
        <f>ABS(tblDonnées[[#This Row],[MONTANT DEPASSEMENT]]*0.005)</f>
        <v>0</v>
      </c>
      <c r="V462" s="33"/>
      <c r="W462" s="33"/>
      <c r="X462" s="33"/>
      <c r="Y462" s="33"/>
      <c r="Z462" s="33"/>
    </row>
    <row r="463" spans="1:26" x14ac:dyDescent="0.25">
      <c r="A463" s="33"/>
      <c r="B463" s="12"/>
      <c r="C463" s="33"/>
      <c r="D463" s="41"/>
      <c r="H463" s="21"/>
      <c r="I463" s="33"/>
      <c r="J463" s="42"/>
      <c r="K463" s="43"/>
      <c r="L463" s="44"/>
      <c r="M46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63" s="38">
        <f>tblDonnées[[#This Row],[MONTANT OPERATION]]+tblDonnées[[#This Row],[POS  FUSIONNEE CPTE AVANT OP]]</f>
        <v>0</v>
      </c>
      <c r="O463" s="17" t="str">
        <f>IF(ISBLANK(tblDonnées[[#This Row],[MONTANT AUTO]]), "N/A", ABS(tblDonnées[[#This Row],[POS  FUSIONNEE CPTE APRES OP]])-ABS(tblDonnées[[#This Row],[MONTANT AUTO]]))</f>
        <v>N/A</v>
      </c>
      <c r="P463" s="39" t="e">
        <f>tblDonnées[[#This Row],[DEPASSEMENT TOTAL SUR AUTO
]]/-tblDonnées[[#This Row],[MONTANT AUTO]]</f>
        <v>#VALUE!</v>
      </c>
      <c r="Q463" s="33"/>
      <c r="R463" s="33"/>
      <c r="S463" s="33"/>
      <c r="T463" s="40">
        <f>IF(tblDonnées[[#This Row],[0,5% du dép]]&lt;5000,5000,IF(tblDonnées[[#This Row],[0,5% du dép]]&gt;50000,50000,tblDonnées[[#This Row],[0,5% du dép]]))</f>
        <v>5000</v>
      </c>
      <c r="U463" s="10">
        <f>ABS(tblDonnées[[#This Row],[MONTANT DEPASSEMENT]]*0.005)</f>
        <v>0</v>
      </c>
      <c r="V463" s="33"/>
      <c r="W463" s="33"/>
      <c r="X463" s="33"/>
      <c r="Y463" s="33"/>
      <c r="Z463" s="33"/>
    </row>
    <row r="464" spans="1:26" x14ac:dyDescent="0.25">
      <c r="A464" s="33"/>
      <c r="B464" s="12"/>
      <c r="C464" s="33"/>
      <c r="D464" s="41"/>
      <c r="H464" s="21"/>
      <c r="I464" s="33"/>
      <c r="J464" s="42"/>
      <c r="K464" s="43"/>
      <c r="L464" s="44"/>
      <c r="M46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64" s="38">
        <f>tblDonnées[[#This Row],[MONTANT OPERATION]]+tblDonnées[[#This Row],[POS  FUSIONNEE CPTE AVANT OP]]</f>
        <v>0</v>
      </c>
      <c r="O464" s="17" t="str">
        <f>IF(ISBLANK(tblDonnées[[#This Row],[MONTANT AUTO]]), "N/A", ABS(tblDonnées[[#This Row],[POS  FUSIONNEE CPTE APRES OP]])-ABS(tblDonnées[[#This Row],[MONTANT AUTO]]))</f>
        <v>N/A</v>
      </c>
      <c r="P464" s="39" t="e">
        <f>tblDonnées[[#This Row],[DEPASSEMENT TOTAL SUR AUTO
]]/-tblDonnées[[#This Row],[MONTANT AUTO]]</f>
        <v>#VALUE!</v>
      </c>
      <c r="Q464" s="33"/>
      <c r="R464" s="33"/>
      <c r="S464" s="33"/>
      <c r="T464" s="40">
        <f>IF(tblDonnées[[#This Row],[0,5% du dép]]&lt;5000,5000,IF(tblDonnées[[#This Row],[0,5% du dép]]&gt;50000,50000,tblDonnées[[#This Row],[0,5% du dép]]))</f>
        <v>5000</v>
      </c>
      <c r="U464" s="10">
        <f>ABS(tblDonnées[[#This Row],[MONTANT DEPASSEMENT]]*0.005)</f>
        <v>0</v>
      </c>
      <c r="V464" s="33"/>
      <c r="W464" s="33"/>
      <c r="X464" s="33"/>
      <c r="Y464" s="33"/>
      <c r="Z464" s="33"/>
    </row>
    <row r="465" spans="1:26" x14ac:dyDescent="0.25">
      <c r="A465" s="33"/>
      <c r="B465" s="12"/>
      <c r="C465" s="33"/>
      <c r="D465" s="41"/>
      <c r="H465" s="21"/>
      <c r="I465" s="33"/>
      <c r="J465" s="42"/>
      <c r="K465" s="43"/>
      <c r="L465" s="44"/>
      <c r="M46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65" s="38">
        <f>tblDonnées[[#This Row],[MONTANT OPERATION]]+tblDonnées[[#This Row],[POS  FUSIONNEE CPTE AVANT OP]]</f>
        <v>0</v>
      </c>
      <c r="O465" s="17" t="str">
        <f>IF(ISBLANK(tblDonnées[[#This Row],[MONTANT AUTO]]), "N/A", ABS(tblDonnées[[#This Row],[POS  FUSIONNEE CPTE APRES OP]])-ABS(tblDonnées[[#This Row],[MONTANT AUTO]]))</f>
        <v>N/A</v>
      </c>
      <c r="P465" s="39" t="e">
        <f>tblDonnées[[#This Row],[DEPASSEMENT TOTAL SUR AUTO
]]/-tblDonnées[[#This Row],[MONTANT AUTO]]</f>
        <v>#VALUE!</v>
      </c>
      <c r="Q465" s="33"/>
      <c r="R465" s="33"/>
      <c r="S465" s="33"/>
      <c r="T465" s="40">
        <f>IF(tblDonnées[[#This Row],[0,5% du dép]]&lt;5000,5000,IF(tblDonnées[[#This Row],[0,5% du dép]]&gt;50000,50000,tblDonnées[[#This Row],[0,5% du dép]]))</f>
        <v>5000</v>
      </c>
      <c r="U465" s="10">
        <f>ABS(tblDonnées[[#This Row],[MONTANT DEPASSEMENT]]*0.005)</f>
        <v>0</v>
      </c>
      <c r="V465" s="33"/>
      <c r="W465" s="33"/>
      <c r="X465" s="33"/>
      <c r="Y465" s="33"/>
      <c r="Z465" s="33"/>
    </row>
    <row r="466" spans="1:26" x14ac:dyDescent="0.25">
      <c r="A466" s="33"/>
      <c r="B466" s="12"/>
      <c r="C466" s="33"/>
      <c r="D466" s="41"/>
      <c r="H466" s="21"/>
      <c r="I466" s="33"/>
      <c r="J466" s="42"/>
      <c r="K466" s="43"/>
      <c r="L466" s="44"/>
      <c r="M46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66" s="38">
        <f>tblDonnées[[#This Row],[MONTANT OPERATION]]+tblDonnées[[#This Row],[POS  FUSIONNEE CPTE AVANT OP]]</f>
        <v>0</v>
      </c>
      <c r="O466" s="17" t="str">
        <f>IF(ISBLANK(tblDonnées[[#This Row],[MONTANT AUTO]]), "N/A", ABS(tblDonnées[[#This Row],[POS  FUSIONNEE CPTE APRES OP]])-ABS(tblDonnées[[#This Row],[MONTANT AUTO]]))</f>
        <v>N/A</v>
      </c>
      <c r="P466" s="39" t="e">
        <f>tblDonnées[[#This Row],[DEPASSEMENT TOTAL SUR AUTO
]]/-tblDonnées[[#This Row],[MONTANT AUTO]]</f>
        <v>#VALUE!</v>
      </c>
      <c r="Q466" s="33"/>
      <c r="R466" s="33"/>
      <c r="S466" s="33"/>
      <c r="T466" s="40">
        <f>IF(tblDonnées[[#This Row],[0,5% du dép]]&lt;5000,5000,IF(tblDonnées[[#This Row],[0,5% du dép]]&gt;50000,50000,tblDonnées[[#This Row],[0,5% du dép]]))</f>
        <v>5000</v>
      </c>
      <c r="U466" s="10">
        <f>ABS(tblDonnées[[#This Row],[MONTANT DEPASSEMENT]]*0.005)</f>
        <v>0</v>
      </c>
      <c r="V466" s="33"/>
      <c r="W466" s="33"/>
      <c r="X466" s="33"/>
      <c r="Y466" s="33"/>
      <c r="Z466" s="33"/>
    </row>
    <row r="467" spans="1:26" x14ac:dyDescent="0.25">
      <c r="A467" s="33"/>
      <c r="B467" s="12"/>
      <c r="C467" s="33"/>
      <c r="D467" s="41"/>
      <c r="H467" s="21"/>
      <c r="I467" s="33"/>
      <c r="J467" s="42"/>
      <c r="K467" s="43"/>
      <c r="L467" s="44"/>
      <c r="M46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67" s="38">
        <f>tblDonnées[[#This Row],[MONTANT OPERATION]]+tblDonnées[[#This Row],[POS  FUSIONNEE CPTE AVANT OP]]</f>
        <v>0</v>
      </c>
      <c r="O467" s="17" t="str">
        <f>IF(ISBLANK(tblDonnées[[#This Row],[MONTANT AUTO]]), "N/A", ABS(tblDonnées[[#This Row],[POS  FUSIONNEE CPTE APRES OP]])-ABS(tblDonnées[[#This Row],[MONTANT AUTO]]))</f>
        <v>N/A</v>
      </c>
      <c r="P467" s="39" t="e">
        <f>tblDonnées[[#This Row],[DEPASSEMENT TOTAL SUR AUTO
]]/-tblDonnées[[#This Row],[MONTANT AUTO]]</f>
        <v>#VALUE!</v>
      </c>
      <c r="Q467" s="33"/>
      <c r="R467" s="33"/>
      <c r="S467" s="33"/>
      <c r="T467" s="40">
        <f>IF(tblDonnées[[#This Row],[0,5% du dép]]&lt;5000,5000,IF(tblDonnées[[#This Row],[0,5% du dép]]&gt;50000,50000,tblDonnées[[#This Row],[0,5% du dép]]))</f>
        <v>5000</v>
      </c>
      <c r="U467" s="10">
        <f>ABS(tblDonnées[[#This Row],[MONTANT DEPASSEMENT]]*0.005)</f>
        <v>0</v>
      </c>
      <c r="V467" s="33"/>
      <c r="W467" s="33"/>
      <c r="X467" s="33"/>
      <c r="Y467" s="33"/>
      <c r="Z467" s="33"/>
    </row>
    <row r="468" spans="1:26" x14ac:dyDescent="0.25">
      <c r="A468" s="33"/>
      <c r="B468" s="12"/>
      <c r="C468" s="33"/>
      <c r="D468" s="41"/>
      <c r="H468" s="21"/>
      <c r="I468" s="33"/>
      <c r="J468" s="42"/>
      <c r="K468" s="43"/>
      <c r="L468" s="44"/>
      <c r="M46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68" s="38">
        <f>tblDonnées[[#This Row],[MONTANT OPERATION]]+tblDonnées[[#This Row],[POS  FUSIONNEE CPTE AVANT OP]]</f>
        <v>0</v>
      </c>
      <c r="O468" s="17" t="str">
        <f>IF(ISBLANK(tblDonnées[[#This Row],[MONTANT AUTO]]), "N/A", ABS(tblDonnées[[#This Row],[POS  FUSIONNEE CPTE APRES OP]])-ABS(tblDonnées[[#This Row],[MONTANT AUTO]]))</f>
        <v>N/A</v>
      </c>
      <c r="P468" s="39" t="e">
        <f>tblDonnées[[#This Row],[DEPASSEMENT TOTAL SUR AUTO
]]/-tblDonnées[[#This Row],[MONTANT AUTO]]</f>
        <v>#VALUE!</v>
      </c>
      <c r="Q468" s="33"/>
      <c r="R468" s="33"/>
      <c r="S468" s="33"/>
      <c r="T468" s="40">
        <f>IF(tblDonnées[[#This Row],[0,5% du dép]]&lt;5000,5000,IF(tblDonnées[[#This Row],[0,5% du dép]]&gt;50000,50000,tblDonnées[[#This Row],[0,5% du dép]]))</f>
        <v>5000</v>
      </c>
      <c r="U468" s="10">
        <f>ABS(tblDonnées[[#This Row],[MONTANT DEPASSEMENT]]*0.005)</f>
        <v>0</v>
      </c>
      <c r="V468" s="33"/>
      <c r="W468" s="33"/>
      <c r="X468" s="33"/>
      <c r="Y468" s="33"/>
      <c r="Z468" s="33"/>
    </row>
    <row r="469" spans="1:26" x14ac:dyDescent="0.25">
      <c r="A469" s="33"/>
      <c r="B469" s="12"/>
      <c r="C469" s="33"/>
      <c r="D469" s="41"/>
      <c r="H469" s="21"/>
      <c r="I469" s="33"/>
      <c r="J469" s="42"/>
      <c r="K469" s="43"/>
      <c r="L469" s="44"/>
      <c r="M46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69" s="38">
        <f>tblDonnées[[#This Row],[MONTANT OPERATION]]+tblDonnées[[#This Row],[POS  FUSIONNEE CPTE AVANT OP]]</f>
        <v>0</v>
      </c>
      <c r="O469" s="17" t="str">
        <f>IF(ISBLANK(tblDonnées[[#This Row],[MONTANT AUTO]]), "N/A", ABS(tblDonnées[[#This Row],[POS  FUSIONNEE CPTE APRES OP]])-ABS(tblDonnées[[#This Row],[MONTANT AUTO]]))</f>
        <v>N/A</v>
      </c>
      <c r="P469" s="39" t="e">
        <f>tblDonnées[[#This Row],[DEPASSEMENT TOTAL SUR AUTO
]]/-tblDonnées[[#This Row],[MONTANT AUTO]]</f>
        <v>#VALUE!</v>
      </c>
      <c r="Q469" s="33"/>
      <c r="R469" s="33"/>
      <c r="S469" s="33"/>
      <c r="T469" s="40">
        <f>IF(tblDonnées[[#This Row],[0,5% du dép]]&lt;5000,5000,IF(tblDonnées[[#This Row],[0,5% du dép]]&gt;50000,50000,tblDonnées[[#This Row],[0,5% du dép]]))</f>
        <v>5000</v>
      </c>
      <c r="U469" s="10">
        <f>ABS(tblDonnées[[#This Row],[MONTANT DEPASSEMENT]]*0.005)</f>
        <v>0</v>
      </c>
      <c r="V469" s="33"/>
      <c r="W469" s="33"/>
      <c r="X469" s="33"/>
      <c r="Y469" s="33"/>
      <c r="Z469" s="33"/>
    </row>
    <row r="470" spans="1:26" x14ac:dyDescent="0.25">
      <c r="A470" s="33"/>
      <c r="B470" s="12"/>
      <c r="C470" s="33"/>
      <c r="D470" s="41"/>
      <c r="H470" s="21"/>
      <c r="I470" s="33"/>
      <c r="J470" s="42"/>
      <c r="K470" s="43"/>
      <c r="L470" s="44"/>
      <c r="M47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70" s="38">
        <f>tblDonnées[[#This Row],[MONTANT OPERATION]]+tblDonnées[[#This Row],[POS  FUSIONNEE CPTE AVANT OP]]</f>
        <v>0</v>
      </c>
      <c r="O470" s="17" t="str">
        <f>IF(ISBLANK(tblDonnées[[#This Row],[MONTANT AUTO]]), "N/A", ABS(tblDonnées[[#This Row],[POS  FUSIONNEE CPTE APRES OP]])-ABS(tblDonnées[[#This Row],[MONTANT AUTO]]))</f>
        <v>N/A</v>
      </c>
      <c r="P470" s="39" t="e">
        <f>tblDonnées[[#This Row],[DEPASSEMENT TOTAL SUR AUTO
]]/-tblDonnées[[#This Row],[MONTANT AUTO]]</f>
        <v>#VALUE!</v>
      </c>
      <c r="Q470" s="33"/>
      <c r="R470" s="33"/>
      <c r="S470" s="33"/>
      <c r="T470" s="40">
        <f>IF(tblDonnées[[#This Row],[0,5% du dép]]&lt;5000,5000,IF(tblDonnées[[#This Row],[0,5% du dép]]&gt;50000,50000,tblDonnées[[#This Row],[0,5% du dép]]))</f>
        <v>5000</v>
      </c>
      <c r="U470" s="10">
        <f>ABS(tblDonnées[[#This Row],[MONTANT DEPASSEMENT]]*0.005)</f>
        <v>0</v>
      </c>
      <c r="V470" s="33"/>
      <c r="W470" s="33"/>
      <c r="X470" s="33"/>
      <c r="Y470" s="33"/>
      <c r="Z470" s="33"/>
    </row>
    <row r="471" spans="1:26" x14ac:dyDescent="0.25">
      <c r="A471" s="33"/>
      <c r="B471" s="12"/>
      <c r="C471" s="33"/>
      <c r="D471" s="41"/>
      <c r="H471" s="21"/>
      <c r="I471" s="33"/>
      <c r="J471" s="42"/>
      <c r="K471" s="43"/>
      <c r="L471" s="44"/>
      <c r="M47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71" s="38">
        <f>tblDonnées[[#This Row],[MONTANT OPERATION]]+tblDonnées[[#This Row],[POS  FUSIONNEE CPTE AVANT OP]]</f>
        <v>0</v>
      </c>
      <c r="O471" s="17" t="str">
        <f>IF(ISBLANK(tblDonnées[[#This Row],[MONTANT AUTO]]), "N/A", ABS(tblDonnées[[#This Row],[POS  FUSIONNEE CPTE APRES OP]])-ABS(tblDonnées[[#This Row],[MONTANT AUTO]]))</f>
        <v>N/A</v>
      </c>
      <c r="P471" s="39" t="e">
        <f>tblDonnées[[#This Row],[DEPASSEMENT TOTAL SUR AUTO
]]/-tblDonnées[[#This Row],[MONTANT AUTO]]</f>
        <v>#VALUE!</v>
      </c>
      <c r="Q471" s="33"/>
      <c r="R471" s="33"/>
      <c r="S471" s="33"/>
      <c r="T471" s="40">
        <f>IF(tblDonnées[[#This Row],[0,5% du dép]]&lt;5000,5000,IF(tblDonnées[[#This Row],[0,5% du dép]]&gt;50000,50000,tblDonnées[[#This Row],[0,5% du dép]]))</f>
        <v>5000</v>
      </c>
      <c r="U471" s="10">
        <f>ABS(tblDonnées[[#This Row],[MONTANT DEPASSEMENT]]*0.005)</f>
        <v>0</v>
      </c>
      <c r="V471" s="33"/>
      <c r="W471" s="33"/>
      <c r="X471" s="33"/>
      <c r="Y471" s="33"/>
      <c r="Z471" s="33"/>
    </row>
    <row r="472" spans="1:26" x14ac:dyDescent="0.25">
      <c r="A472" s="33"/>
      <c r="B472" s="12"/>
      <c r="C472" s="33"/>
      <c r="D472" s="41"/>
      <c r="H472" s="21"/>
      <c r="I472" s="33"/>
      <c r="J472" s="42"/>
      <c r="K472" s="43"/>
      <c r="L472" s="44"/>
      <c r="M47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72" s="38">
        <f>tblDonnées[[#This Row],[MONTANT OPERATION]]+tblDonnées[[#This Row],[POS  FUSIONNEE CPTE AVANT OP]]</f>
        <v>0</v>
      </c>
      <c r="O472" s="17" t="str">
        <f>IF(ISBLANK(tblDonnées[[#This Row],[MONTANT AUTO]]), "N/A", ABS(tblDonnées[[#This Row],[POS  FUSIONNEE CPTE APRES OP]])-ABS(tblDonnées[[#This Row],[MONTANT AUTO]]))</f>
        <v>N/A</v>
      </c>
      <c r="P472" s="39" t="e">
        <f>tblDonnées[[#This Row],[DEPASSEMENT TOTAL SUR AUTO
]]/-tblDonnées[[#This Row],[MONTANT AUTO]]</f>
        <v>#VALUE!</v>
      </c>
      <c r="Q472" s="33"/>
      <c r="R472" s="33"/>
      <c r="S472" s="33"/>
      <c r="T472" s="40">
        <f>IF(tblDonnées[[#This Row],[0,5% du dép]]&lt;5000,5000,IF(tblDonnées[[#This Row],[0,5% du dép]]&gt;50000,50000,tblDonnées[[#This Row],[0,5% du dép]]))</f>
        <v>5000</v>
      </c>
      <c r="U472" s="10">
        <f>ABS(tblDonnées[[#This Row],[MONTANT DEPASSEMENT]]*0.005)</f>
        <v>0</v>
      </c>
      <c r="V472" s="33"/>
      <c r="W472" s="33"/>
      <c r="X472" s="33"/>
      <c r="Y472" s="33"/>
      <c r="Z472" s="33"/>
    </row>
    <row r="473" spans="1:26" x14ac:dyDescent="0.25">
      <c r="A473" s="33"/>
      <c r="B473" s="12"/>
      <c r="C473" s="33"/>
      <c r="D473" s="41"/>
      <c r="H473" s="21"/>
      <c r="I473" s="33"/>
      <c r="J473" s="42"/>
      <c r="K473" s="43"/>
      <c r="L473" s="44"/>
      <c r="M47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73" s="38">
        <f>tblDonnées[[#This Row],[MONTANT OPERATION]]+tblDonnées[[#This Row],[POS  FUSIONNEE CPTE AVANT OP]]</f>
        <v>0</v>
      </c>
      <c r="O473" s="17" t="str">
        <f>IF(ISBLANK(tblDonnées[[#This Row],[MONTANT AUTO]]), "N/A", ABS(tblDonnées[[#This Row],[POS  FUSIONNEE CPTE APRES OP]])-ABS(tblDonnées[[#This Row],[MONTANT AUTO]]))</f>
        <v>N/A</v>
      </c>
      <c r="P473" s="39" t="e">
        <f>tblDonnées[[#This Row],[DEPASSEMENT TOTAL SUR AUTO
]]/-tblDonnées[[#This Row],[MONTANT AUTO]]</f>
        <v>#VALUE!</v>
      </c>
      <c r="Q473" s="33"/>
      <c r="R473" s="33"/>
      <c r="S473" s="33"/>
      <c r="T473" s="40">
        <f>IF(tblDonnées[[#This Row],[0,5% du dép]]&lt;5000,5000,IF(tblDonnées[[#This Row],[0,5% du dép]]&gt;50000,50000,tblDonnées[[#This Row],[0,5% du dép]]))</f>
        <v>5000</v>
      </c>
      <c r="U473" s="10">
        <f>ABS(tblDonnées[[#This Row],[MONTANT DEPASSEMENT]]*0.005)</f>
        <v>0</v>
      </c>
      <c r="V473" s="33"/>
      <c r="W473" s="33"/>
      <c r="X473" s="33"/>
      <c r="Y473" s="33"/>
      <c r="Z473" s="33"/>
    </row>
    <row r="474" spans="1:26" x14ac:dyDescent="0.25">
      <c r="A474" s="33"/>
      <c r="B474" s="12"/>
      <c r="C474" s="33"/>
      <c r="D474" s="41"/>
      <c r="H474" s="21"/>
      <c r="I474" s="33"/>
      <c r="J474" s="42"/>
      <c r="K474" s="43"/>
      <c r="L474" s="44"/>
      <c r="M47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74" s="38">
        <f>tblDonnées[[#This Row],[MONTANT OPERATION]]+tblDonnées[[#This Row],[POS  FUSIONNEE CPTE AVANT OP]]</f>
        <v>0</v>
      </c>
      <c r="O474" s="17" t="str">
        <f>IF(ISBLANK(tblDonnées[[#This Row],[MONTANT AUTO]]), "N/A", ABS(tblDonnées[[#This Row],[POS  FUSIONNEE CPTE APRES OP]])-ABS(tblDonnées[[#This Row],[MONTANT AUTO]]))</f>
        <v>N/A</v>
      </c>
      <c r="P474" s="39" t="e">
        <f>tblDonnées[[#This Row],[DEPASSEMENT TOTAL SUR AUTO
]]/-tblDonnées[[#This Row],[MONTANT AUTO]]</f>
        <v>#VALUE!</v>
      </c>
      <c r="Q474" s="33"/>
      <c r="R474" s="33"/>
      <c r="S474" s="33"/>
      <c r="T474" s="40">
        <f>IF(tblDonnées[[#This Row],[0,5% du dép]]&lt;5000,5000,IF(tblDonnées[[#This Row],[0,5% du dép]]&gt;50000,50000,tblDonnées[[#This Row],[0,5% du dép]]))</f>
        <v>5000</v>
      </c>
      <c r="U474" s="10">
        <f>ABS(tblDonnées[[#This Row],[MONTANT DEPASSEMENT]]*0.005)</f>
        <v>0</v>
      </c>
      <c r="V474" s="33"/>
      <c r="W474" s="33"/>
      <c r="X474" s="33"/>
      <c r="Y474" s="33"/>
      <c r="Z474" s="33"/>
    </row>
    <row r="475" spans="1:26" x14ac:dyDescent="0.25">
      <c r="A475" s="33"/>
      <c r="B475" s="12"/>
      <c r="C475" s="33"/>
      <c r="D475" s="41"/>
      <c r="H475" s="21"/>
      <c r="I475" s="33"/>
      <c r="J475" s="42"/>
      <c r="K475" s="43"/>
      <c r="L475" s="44"/>
      <c r="M47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75" s="38">
        <f>tblDonnées[[#This Row],[MONTANT OPERATION]]+tblDonnées[[#This Row],[POS  FUSIONNEE CPTE AVANT OP]]</f>
        <v>0</v>
      </c>
      <c r="O475" s="17" t="str">
        <f>IF(ISBLANK(tblDonnées[[#This Row],[MONTANT AUTO]]), "N/A", ABS(tblDonnées[[#This Row],[POS  FUSIONNEE CPTE APRES OP]])-ABS(tblDonnées[[#This Row],[MONTANT AUTO]]))</f>
        <v>N/A</v>
      </c>
      <c r="P475" s="39" t="e">
        <f>tblDonnées[[#This Row],[DEPASSEMENT TOTAL SUR AUTO
]]/-tblDonnées[[#This Row],[MONTANT AUTO]]</f>
        <v>#VALUE!</v>
      </c>
      <c r="Q475" s="33"/>
      <c r="R475" s="33"/>
      <c r="S475" s="33"/>
      <c r="T475" s="40">
        <f>IF(tblDonnées[[#This Row],[0,5% du dép]]&lt;5000,5000,IF(tblDonnées[[#This Row],[0,5% du dép]]&gt;50000,50000,tblDonnées[[#This Row],[0,5% du dép]]))</f>
        <v>5000</v>
      </c>
      <c r="U475" s="10">
        <f>ABS(tblDonnées[[#This Row],[MONTANT DEPASSEMENT]]*0.005)</f>
        <v>0</v>
      </c>
      <c r="V475" s="33"/>
      <c r="W475" s="33"/>
      <c r="X475" s="33"/>
      <c r="Y475" s="33"/>
      <c r="Z475" s="33"/>
    </row>
    <row r="476" spans="1:26" x14ac:dyDescent="0.25">
      <c r="A476" s="33"/>
      <c r="B476" s="12"/>
      <c r="C476" s="33"/>
      <c r="D476" s="41"/>
      <c r="H476" s="21"/>
      <c r="I476" s="33"/>
      <c r="J476" s="42"/>
      <c r="K476" s="43"/>
      <c r="L476" s="44"/>
      <c r="M47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76" s="38">
        <f>tblDonnées[[#This Row],[MONTANT OPERATION]]+tblDonnées[[#This Row],[POS  FUSIONNEE CPTE AVANT OP]]</f>
        <v>0</v>
      </c>
      <c r="O476" s="17" t="str">
        <f>IF(ISBLANK(tblDonnées[[#This Row],[MONTANT AUTO]]), "N/A", ABS(tblDonnées[[#This Row],[POS  FUSIONNEE CPTE APRES OP]])-ABS(tblDonnées[[#This Row],[MONTANT AUTO]]))</f>
        <v>N/A</v>
      </c>
      <c r="P476" s="39" t="e">
        <f>tblDonnées[[#This Row],[DEPASSEMENT TOTAL SUR AUTO
]]/-tblDonnées[[#This Row],[MONTANT AUTO]]</f>
        <v>#VALUE!</v>
      </c>
      <c r="Q476" s="33"/>
      <c r="R476" s="33"/>
      <c r="S476" s="33"/>
      <c r="T476" s="40">
        <f>IF(tblDonnées[[#This Row],[0,5% du dép]]&lt;5000,5000,IF(tblDonnées[[#This Row],[0,5% du dép]]&gt;50000,50000,tblDonnées[[#This Row],[0,5% du dép]]))</f>
        <v>5000</v>
      </c>
      <c r="U476" s="10">
        <f>ABS(tblDonnées[[#This Row],[MONTANT DEPASSEMENT]]*0.005)</f>
        <v>0</v>
      </c>
      <c r="V476" s="33"/>
      <c r="W476" s="33"/>
      <c r="X476" s="33"/>
      <c r="Y476" s="33"/>
      <c r="Z476" s="33"/>
    </row>
    <row r="477" spans="1:26" x14ac:dyDescent="0.25">
      <c r="A477" s="33"/>
      <c r="B477" s="12"/>
      <c r="C477" s="33"/>
      <c r="D477" s="41"/>
      <c r="H477" s="21"/>
      <c r="I477" s="33"/>
      <c r="J477" s="42"/>
      <c r="K477" s="43"/>
      <c r="L477" s="44"/>
      <c r="M47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77" s="38">
        <f>tblDonnées[[#This Row],[MONTANT OPERATION]]+tblDonnées[[#This Row],[POS  FUSIONNEE CPTE AVANT OP]]</f>
        <v>0</v>
      </c>
      <c r="O477" s="17" t="str">
        <f>IF(ISBLANK(tblDonnées[[#This Row],[MONTANT AUTO]]), "N/A", ABS(tblDonnées[[#This Row],[POS  FUSIONNEE CPTE APRES OP]])-ABS(tblDonnées[[#This Row],[MONTANT AUTO]]))</f>
        <v>N/A</v>
      </c>
      <c r="P477" s="39" t="e">
        <f>tblDonnées[[#This Row],[DEPASSEMENT TOTAL SUR AUTO
]]/-tblDonnées[[#This Row],[MONTANT AUTO]]</f>
        <v>#VALUE!</v>
      </c>
      <c r="Q477" s="33"/>
      <c r="R477" s="33"/>
      <c r="S477" s="33"/>
      <c r="T477" s="40">
        <f>IF(tblDonnées[[#This Row],[0,5% du dép]]&lt;5000,5000,IF(tblDonnées[[#This Row],[0,5% du dép]]&gt;50000,50000,tblDonnées[[#This Row],[0,5% du dép]]))</f>
        <v>5000</v>
      </c>
      <c r="U477" s="10">
        <f>ABS(tblDonnées[[#This Row],[MONTANT DEPASSEMENT]]*0.005)</f>
        <v>0</v>
      </c>
      <c r="V477" s="33"/>
      <c r="W477" s="33"/>
      <c r="X477" s="33"/>
      <c r="Y477" s="33"/>
      <c r="Z477" s="33"/>
    </row>
    <row r="478" spans="1:26" x14ac:dyDescent="0.25">
      <c r="A478" s="33"/>
      <c r="B478" s="12"/>
      <c r="C478" s="33"/>
      <c r="D478" s="41"/>
      <c r="H478" s="21"/>
      <c r="I478" s="33"/>
      <c r="J478" s="42"/>
      <c r="K478" s="43"/>
      <c r="L478" s="44"/>
      <c r="M47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78" s="38">
        <f>tblDonnées[[#This Row],[MONTANT OPERATION]]+tblDonnées[[#This Row],[POS  FUSIONNEE CPTE AVANT OP]]</f>
        <v>0</v>
      </c>
      <c r="O478" s="17" t="str">
        <f>IF(ISBLANK(tblDonnées[[#This Row],[MONTANT AUTO]]), "N/A", ABS(tblDonnées[[#This Row],[POS  FUSIONNEE CPTE APRES OP]])-ABS(tblDonnées[[#This Row],[MONTANT AUTO]]))</f>
        <v>N/A</v>
      </c>
      <c r="P478" s="39" t="e">
        <f>tblDonnées[[#This Row],[DEPASSEMENT TOTAL SUR AUTO
]]/-tblDonnées[[#This Row],[MONTANT AUTO]]</f>
        <v>#VALUE!</v>
      </c>
      <c r="Q478" s="33"/>
      <c r="R478" s="33"/>
      <c r="S478" s="33"/>
      <c r="T478" s="40">
        <f>IF(tblDonnées[[#This Row],[0,5% du dép]]&lt;5000,5000,IF(tblDonnées[[#This Row],[0,5% du dép]]&gt;50000,50000,tblDonnées[[#This Row],[0,5% du dép]]))</f>
        <v>5000</v>
      </c>
      <c r="U478" s="10">
        <f>ABS(tblDonnées[[#This Row],[MONTANT DEPASSEMENT]]*0.005)</f>
        <v>0</v>
      </c>
      <c r="V478" s="33"/>
      <c r="W478" s="33"/>
      <c r="X478" s="33"/>
      <c r="Y478" s="33"/>
      <c r="Z478" s="33"/>
    </row>
    <row r="479" spans="1:26" x14ac:dyDescent="0.25">
      <c r="A479" s="33"/>
      <c r="B479" s="12"/>
      <c r="C479" s="33"/>
      <c r="D479" s="41"/>
      <c r="H479" s="21"/>
      <c r="I479" s="33"/>
      <c r="J479" s="42"/>
      <c r="K479" s="43"/>
      <c r="L479" s="44"/>
      <c r="M47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79" s="38">
        <f>tblDonnées[[#This Row],[MONTANT OPERATION]]+tblDonnées[[#This Row],[POS  FUSIONNEE CPTE AVANT OP]]</f>
        <v>0</v>
      </c>
      <c r="O479" s="17" t="str">
        <f>IF(ISBLANK(tblDonnées[[#This Row],[MONTANT AUTO]]), "N/A", ABS(tblDonnées[[#This Row],[POS  FUSIONNEE CPTE APRES OP]])-ABS(tblDonnées[[#This Row],[MONTANT AUTO]]))</f>
        <v>N/A</v>
      </c>
      <c r="P479" s="39" t="e">
        <f>tblDonnées[[#This Row],[DEPASSEMENT TOTAL SUR AUTO
]]/-tblDonnées[[#This Row],[MONTANT AUTO]]</f>
        <v>#VALUE!</v>
      </c>
      <c r="Q479" s="33"/>
      <c r="R479" s="33"/>
      <c r="S479" s="33"/>
      <c r="T479" s="40">
        <f>IF(tblDonnées[[#This Row],[0,5% du dép]]&lt;5000,5000,IF(tblDonnées[[#This Row],[0,5% du dép]]&gt;50000,50000,tblDonnées[[#This Row],[0,5% du dép]]))</f>
        <v>5000</v>
      </c>
      <c r="U479" s="10">
        <f>ABS(tblDonnées[[#This Row],[MONTANT DEPASSEMENT]]*0.005)</f>
        <v>0</v>
      </c>
      <c r="V479" s="33"/>
      <c r="W479" s="33"/>
      <c r="X479" s="33"/>
      <c r="Y479" s="33"/>
      <c r="Z479" s="33"/>
    </row>
    <row r="480" spans="1:26" x14ac:dyDescent="0.25">
      <c r="A480" s="33"/>
      <c r="B480" s="12"/>
      <c r="C480" s="33"/>
      <c r="D480" s="41"/>
      <c r="H480" s="21"/>
      <c r="I480" s="33"/>
      <c r="J480" s="42"/>
      <c r="K480" s="43"/>
      <c r="L480" s="44"/>
      <c r="M48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80" s="38">
        <f>tblDonnées[[#This Row],[MONTANT OPERATION]]+tblDonnées[[#This Row],[POS  FUSIONNEE CPTE AVANT OP]]</f>
        <v>0</v>
      </c>
      <c r="O480" s="17" t="str">
        <f>IF(ISBLANK(tblDonnées[[#This Row],[MONTANT AUTO]]), "N/A", ABS(tblDonnées[[#This Row],[POS  FUSIONNEE CPTE APRES OP]])-ABS(tblDonnées[[#This Row],[MONTANT AUTO]]))</f>
        <v>N/A</v>
      </c>
      <c r="P480" s="39" t="e">
        <f>tblDonnées[[#This Row],[DEPASSEMENT TOTAL SUR AUTO
]]/-tblDonnées[[#This Row],[MONTANT AUTO]]</f>
        <v>#VALUE!</v>
      </c>
      <c r="Q480" s="33"/>
      <c r="R480" s="33"/>
      <c r="S480" s="33"/>
      <c r="T480" s="40">
        <f>IF(tblDonnées[[#This Row],[0,5% du dép]]&lt;5000,5000,IF(tblDonnées[[#This Row],[0,5% du dép]]&gt;50000,50000,tblDonnées[[#This Row],[0,5% du dép]]))</f>
        <v>5000</v>
      </c>
      <c r="U480" s="10">
        <f>ABS(tblDonnées[[#This Row],[MONTANT DEPASSEMENT]]*0.005)</f>
        <v>0</v>
      </c>
      <c r="V480" s="33"/>
      <c r="W480" s="33"/>
      <c r="X480" s="33"/>
      <c r="Y480" s="33"/>
      <c r="Z480" s="33"/>
    </row>
    <row r="481" spans="1:26" x14ac:dyDescent="0.25">
      <c r="A481" s="33"/>
      <c r="B481" s="12"/>
      <c r="C481" s="33"/>
      <c r="D481" s="41"/>
      <c r="H481" s="21"/>
      <c r="I481" s="33"/>
      <c r="J481" s="42"/>
      <c r="K481" s="43"/>
      <c r="L481" s="44"/>
      <c r="M48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81" s="38">
        <f>tblDonnées[[#This Row],[MONTANT OPERATION]]+tblDonnées[[#This Row],[POS  FUSIONNEE CPTE AVANT OP]]</f>
        <v>0</v>
      </c>
      <c r="O481" s="17" t="str">
        <f>IF(ISBLANK(tblDonnées[[#This Row],[MONTANT AUTO]]), "N/A", ABS(tblDonnées[[#This Row],[POS  FUSIONNEE CPTE APRES OP]])-ABS(tblDonnées[[#This Row],[MONTANT AUTO]]))</f>
        <v>N/A</v>
      </c>
      <c r="P481" s="39" t="e">
        <f>tblDonnées[[#This Row],[DEPASSEMENT TOTAL SUR AUTO
]]/-tblDonnées[[#This Row],[MONTANT AUTO]]</f>
        <v>#VALUE!</v>
      </c>
      <c r="Q481" s="33"/>
      <c r="R481" s="33"/>
      <c r="S481" s="33"/>
      <c r="T481" s="40">
        <f>IF(tblDonnées[[#This Row],[0,5% du dép]]&lt;5000,5000,IF(tblDonnées[[#This Row],[0,5% du dép]]&gt;50000,50000,tblDonnées[[#This Row],[0,5% du dép]]))</f>
        <v>5000</v>
      </c>
      <c r="U481" s="10">
        <f>ABS(tblDonnées[[#This Row],[MONTANT DEPASSEMENT]]*0.005)</f>
        <v>0</v>
      </c>
      <c r="V481" s="33"/>
      <c r="W481" s="33"/>
      <c r="X481" s="33"/>
      <c r="Y481" s="33"/>
      <c r="Z481" s="33"/>
    </row>
    <row r="482" spans="1:26" x14ac:dyDescent="0.25">
      <c r="A482" s="33"/>
      <c r="B482" s="12"/>
      <c r="C482" s="33"/>
      <c r="D482" s="41"/>
      <c r="H482" s="21"/>
      <c r="I482" s="33"/>
      <c r="J482" s="42"/>
      <c r="K482" s="43"/>
      <c r="L482" s="44"/>
      <c r="M48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82" s="38">
        <f>tblDonnées[[#This Row],[MONTANT OPERATION]]+tblDonnées[[#This Row],[POS  FUSIONNEE CPTE AVANT OP]]</f>
        <v>0</v>
      </c>
      <c r="O482" s="17" t="str">
        <f>IF(ISBLANK(tblDonnées[[#This Row],[MONTANT AUTO]]), "N/A", ABS(tblDonnées[[#This Row],[POS  FUSIONNEE CPTE APRES OP]])-ABS(tblDonnées[[#This Row],[MONTANT AUTO]]))</f>
        <v>N/A</v>
      </c>
      <c r="P482" s="39" t="e">
        <f>tblDonnées[[#This Row],[DEPASSEMENT TOTAL SUR AUTO
]]/-tblDonnées[[#This Row],[MONTANT AUTO]]</f>
        <v>#VALUE!</v>
      </c>
      <c r="Q482" s="33"/>
      <c r="R482" s="33"/>
      <c r="S482" s="33"/>
      <c r="T482" s="40">
        <f>IF(tblDonnées[[#This Row],[0,5% du dép]]&lt;5000,5000,IF(tblDonnées[[#This Row],[0,5% du dép]]&gt;50000,50000,tblDonnées[[#This Row],[0,5% du dép]]))</f>
        <v>5000</v>
      </c>
      <c r="U482" s="10">
        <f>ABS(tblDonnées[[#This Row],[MONTANT DEPASSEMENT]]*0.005)</f>
        <v>0</v>
      </c>
      <c r="V482" s="33"/>
      <c r="W482" s="33"/>
      <c r="X482" s="33"/>
      <c r="Y482" s="33"/>
      <c r="Z482" s="33"/>
    </row>
    <row r="483" spans="1:26" x14ac:dyDescent="0.25">
      <c r="A483" s="33"/>
      <c r="B483" s="12"/>
      <c r="C483" s="33"/>
      <c r="D483" s="41"/>
      <c r="H483" s="21"/>
      <c r="I483" s="33"/>
      <c r="J483" s="42"/>
      <c r="K483" s="43"/>
      <c r="L483" s="44"/>
      <c r="M48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83" s="38">
        <f>tblDonnées[[#This Row],[MONTANT OPERATION]]+tblDonnées[[#This Row],[POS  FUSIONNEE CPTE AVANT OP]]</f>
        <v>0</v>
      </c>
      <c r="O483" s="17" t="str">
        <f>IF(ISBLANK(tblDonnées[[#This Row],[MONTANT AUTO]]), "N/A", ABS(tblDonnées[[#This Row],[POS  FUSIONNEE CPTE APRES OP]])-ABS(tblDonnées[[#This Row],[MONTANT AUTO]]))</f>
        <v>N/A</v>
      </c>
      <c r="P483" s="39" t="e">
        <f>tblDonnées[[#This Row],[DEPASSEMENT TOTAL SUR AUTO
]]/-tblDonnées[[#This Row],[MONTANT AUTO]]</f>
        <v>#VALUE!</v>
      </c>
      <c r="Q483" s="33"/>
      <c r="R483" s="33"/>
      <c r="S483" s="33"/>
      <c r="T483" s="40">
        <f>IF(tblDonnées[[#This Row],[0,5% du dép]]&lt;5000,5000,IF(tblDonnées[[#This Row],[0,5% du dép]]&gt;50000,50000,tblDonnées[[#This Row],[0,5% du dép]]))</f>
        <v>5000</v>
      </c>
      <c r="U483" s="10">
        <f>ABS(tblDonnées[[#This Row],[MONTANT DEPASSEMENT]]*0.005)</f>
        <v>0</v>
      </c>
      <c r="V483" s="33"/>
      <c r="W483" s="33"/>
      <c r="X483" s="33"/>
      <c r="Y483" s="33"/>
      <c r="Z483" s="33"/>
    </row>
    <row r="484" spans="1:26" x14ac:dyDescent="0.25">
      <c r="A484" s="33"/>
      <c r="B484" s="12"/>
      <c r="C484" s="33"/>
      <c r="D484" s="41"/>
      <c r="H484" s="21"/>
      <c r="I484" s="33"/>
      <c r="J484" s="42"/>
      <c r="K484" s="43"/>
      <c r="L484" s="44"/>
      <c r="M48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84" s="38">
        <f>tblDonnées[[#This Row],[MONTANT OPERATION]]+tblDonnées[[#This Row],[POS  FUSIONNEE CPTE AVANT OP]]</f>
        <v>0</v>
      </c>
      <c r="O484" s="17" t="str">
        <f>IF(ISBLANK(tblDonnées[[#This Row],[MONTANT AUTO]]), "N/A", ABS(tblDonnées[[#This Row],[POS  FUSIONNEE CPTE APRES OP]])-ABS(tblDonnées[[#This Row],[MONTANT AUTO]]))</f>
        <v>N/A</v>
      </c>
      <c r="P484" s="39" t="e">
        <f>tblDonnées[[#This Row],[DEPASSEMENT TOTAL SUR AUTO
]]/-tblDonnées[[#This Row],[MONTANT AUTO]]</f>
        <v>#VALUE!</v>
      </c>
      <c r="Q484" s="33"/>
      <c r="R484" s="33"/>
      <c r="S484" s="33"/>
      <c r="T484" s="40">
        <f>IF(tblDonnées[[#This Row],[0,5% du dép]]&lt;5000,5000,IF(tblDonnées[[#This Row],[0,5% du dép]]&gt;50000,50000,tblDonnées[[#This Row],[0,5% du dép]]))</f>
        <v>5000</v>
      </c>
      <c r="U484" s="10">
        <f>ABS(tblDonnées[[#This Row],[MONTANT DEPASSEMENT]]*0.005)</f>
        <v>0</v>
      </c>
      <c r="V484" s="33"/>
      <c r="W484" s="33"/>
      <c r="X484" s="33"/>
      <c r="Y484" s="33"/>
      <c r="Z484" s="33"/>
    </row>
    <row r="485" spans="1:26" x14ac:dyDescent="0.25">
      <c r="A485" s="33"/>
      <c r="B485" s="12"/>
      <c r="C485" s="33"/>
      <c r="D485" s="41"/>
      <c r="H485" s="21"/>
      <c r="I485" s="33"/>
      <c r="J485" s="42"/>
      <c r="K485" s="43"/>
      <c r="L485" s="44"/>
      <c r="M48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85" s="38">
        <f>tblDonnées[[#This Row],[MONTANT OPERATION]]+tblDonnées[[#This Row],[POS  FUSIONNEE CPTE AVANT OP]]</f>
        <v>0</v>
      </c>
      <c r="O485" s="17" t="str">
        <f>IF(ISBLANK(tblDonnées[[#This Row],[MONTANT AUTO]]), "N/A", ABS(tblDonnées[[#This Row],[POS  FUSIONNEE CPTE APRES OP]])-ABS(tblDonnées[[#This Row],[MONTANT AUTO]]))</f>
        <v>N/A</v>
      </c>
      <c r="P485" s="39" t="e">
        <f>tblDonnées[[#This Row],[DEPASSEMENT TOTAL SUR AUTO
]]/-tblDonnées[[#This Row],[MONTANT AUTO]]</f>
        <v>#VALUE!</v>
      </c>
      <c r="Q485" s="33"/>
      <c r="R485" s="33"/>
      <c r="S485" s="33"/>
      <c r="T485" s="40">
        <f>IF(tblDonnées[[#This Row],[0,5% du dép]]&lt;5000,5000,IF(tblDonnées[[#This Row],[0,5% du dép]]&gt;50000,50000,tblDonnées[[#This Row],[0,5% du dép]]))</f>
        <v>5000</v>
      </c>
      <c r="U485" s="10">
        <f>ABS(tblDonnées[[#This Row],[MONTANT DEPASSEMENT]]*0.005)</f>
        <v>0</v>
      </c>
      <c r="V485" s="33"/>
      <c r="W485" s="33"/>
      <c r="X485" s="33"/>
      <c r="Y485" s="33"/>
      <c r="Z485" s="33"/>
    </row>
    <row r="486" spans="1:26" x14ac:dyDescent="0.25">
      <c r="A486" s="33"/>
      <c r="B486" s="12"/>
      <c r="C486" s="33"/>
      <c r="D486" s="41"/>
      <c r="H486" s="21"/>
      <c r="I486" s="33"/>
      <c r="J486" s="42"/>
      <c r="K486" s="43"/>
      <c r="L486" s="44"/>
      <c r="M48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86" s="38">
        <f>tblDonnées[[#This Row],[MONTANT OPERATION]]+tblDonnées[[#This Row],[POS  FUSIONNEE CPTE AVANT OP]]</f>
        <v>0</v>
      </c>
      <c r="O486" s="17" t="str">
        <f>IF(ISBLANK(tblDonnées[[#This Row],[MONTANT AUTO]]), "N/A", ABS(tblDonnées[[#This Row],[POS  FUSIONNEE CPTE APRES OP]])-ABS(tblDonnées[[#This Row],[MONTANT AUTO]]))</f>
        <v>N/A</v>
      </c>
      <c r="P486" s="39" t="e">
        <f>tblDonnées[[#This Row],[DEPASSEMENT TOTAL SUR AUTO
]]/-tblDonnées[[#This Row],[MONTANT AUTO]]</f>
        <v>#VALUE!</v>
      </c>
      <c r="Q486" s="33"/>
      <c r="R486" s="33"/>
      <c r="S486" s="33"/>
      <c r="T486" s="40">
        <f>IF(tblDonnées[[#This Row],[0,5% du dép]]&lt;5000,5000,IF(tblDonnées[[#This Row],[0,5% du dép]]&gt;50000,50000,tblDonnées[[#This Row],[0,5% du dép]]))</f>
        <v>5000</v>
      </c>
      <c r="U486" s="10">
        <f>ABS(tblDonnées[[#This Row],[MONTANT DEPASSEMENT]]*0.005)</f>
        <v>0</v>
      </c>
      <c r="V486" s="33"/>
      <c r="W486" s="33"/>
      <c r="X486" s="33"/>
      <c r="Y486" s="33"/>
      <c r="Z486" s="33"/>
    </row>
    <row r="487" spans="1:26" x14ac:dyDescent="0.25">
      <c r="A487" s="33"/>
      <c r="B487" s="12"/>
      <c r="C487" s="33"/>
      <c r="D487" s="41"/>
      <c r="H487" s="21"/>
      <c r="I487" s="33"/>
      <c r="J487" s="42"/>
      <c r="K487" s="43"/>
      <c r="L487" s="44"/>
      <c r="M48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87" s="38">
        <f>tblDonnées[[#This Row],[MONTANT OPERATION]]+tblDonnées[[#This Row],[POS  FUSIONNEE CPTE AVANT OP]]</f>
        <v>0</v>
      </c>
      <c r="O487" s="17" t="str">
        <f>IF(ISBLANK(tblDonnées[[#This Row],[MONTANT AUTO]]), "N/A", ABS(tblDonnées[[#This Row],[POS  FUSIONNEE CPTE APRES OP]])-ABS(tblDonnées[[#This Row],[MONTANT AUTO]]))</f>
        <v>N/A</v>
      </c>
      <c r="P487" s="39" t="e">
        <f>tblDonnées[[#This Row],[DEPASSEMENT TOTAL SUR AUTO
]]/-tblDonnées[[#This Row],[MONTANT AUTO]]</f>
        <v>#VALUE!</v>
      </c>
      <c r="Q487" s="33"/>
      <c r="R487" s="33"/>
      <c r="S487" s="33"/>
      <c r="T487" s="40">
        <f>IF(tblDonnées[[#This Row],[0,5% du dép]]&lt;5000,5000,IF(tblDonnées[[#This Row],[0,5% du dép]]&gt;50000,50000,tblDonnées[[#This Row],[0,5% du dép]]))</f>
        <v>5000</v>
      </c>
      <c r="U487" s="10">
        <f>ABS(tblDonnées[[#This Row],[MONTANT DEPASSEMENT]]*0.005)</f>
        <v>0</v>
      </c>
      <c r="V487" s="33"/>
      <c r="W487" s="33"/>
      <c r="X487" s="33"/>
      <c r="Y487" s="33"/>
      <c r="Z487" s="33"/>
    </row>
    <row r="488" spans="1:26" x14ac:dyDescent="0.25">
      <c r="A488" s="33"/>
      <c r="B488" s="12"/>
      <c r="C488" s="33"/>
      <c r="D488" s="41"/>
      <c r="H488" s="21"/>
      <c r="I488" s="33"/>
      <c r="J488" s="42"/>
      <c r="K488" s="43"/>
      <c r="L488" s="44"/>
      <c r="M48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88" s="38">
        <f>tblDonnées[[#This Row],[MONTANT OPERATION]]+tblDonnées[[#This Row],[POS  FUSIONNEE CPTE AVANT OP]]</f>
        <v>0</v>
      </c>
      <c r="O488" s="17" t="str">
        <f>IF(ISBLANK(tblDonnées[[#This Row],[MONTANT AUTO]]), "N/A", ABS(tblDonnées[[#This Row],[POS  FUSIONNEE CPTE APRES OP]])-ABS(tblDonnées[[#This Row],[MONTANT AUTO]]))</f>
        <v>N/A</v>
      </c>
      <c r="P488" s="39" t="e">
        <f>tblDonnées[[#This Row],[DEPASSEMENT TOTAL SUR AUTO
]]/-tblDonnées[[#This Row],[MONTANT AUTO]]</f>
        <v>#VALUE!</v>
      </c>
      <c r="Q488" s="33"/>
      <c r="R488" s="33"/>
      <c r="S488" s="33"/>
      <c r="T488" s="40">
        <f>IF(tblDonnées[[#This Row],[0,5% du dép]]&lt;5000,5000,IF(tblDonnées[[#This Row],[0,5% du dép]]&gt;50000,50000,tblDonnées[[#This Row],[0,5% du dép]]))</f>
        <v>5000</v>
      </c>
      <c r="U488" s="10">
        <f>ABS(tblDonnées[[#This Row],[MONTANT DEPASSEMENT]]*0.005)</f>
        <v>0</v>
      </c>
      <c r="V488" s="33"/>
      <c r="W488" s="33"/>
      <c r="X488" s="33"/>
      <c r="Y488" s="33"/>
      <c r="Z488" s="33"/>
    </row>
    <row r="489" spans="1:26" x14ac:dyDescent="0.25">
      <c r="A489" s="33"/>
      <c r="B489" s="12"/>
      <c r="C489" s="33"/>
      <c r="D489" s="41"/>
      <c r="H489" s="21"/>
      <c r="I489" s="33"/>
      <c r="J489" s="42"/>
      <c r="K489" s="43"/>
      <c r="L489" s="44"/>
      <c r="M48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89" s="38">
        <f>tblDonnées[[#This Row],[MONTANT OPERATION]]+tblDonnées[[#This Row],[POS  FUSIONNEE CPTE AVANT OP]]</f>
        <v>0</v>
      </c>
      <c r="O489" s="17" t="str">
        <f>IF(ISBLANK(tblDonnées[[#This Row],[MONTANT AUTO]]), "N/A", ABS(tblDonnées[[#This Row],[POS  FUSIONNEE CPTE APRES OP]])-ABS(tblDonnées[[#This Row],[MONTANT AUTO]]))</f>
        <v>N/A</v>
      </c>
      <c r="P489" s="39" t="e">
        <f>tblDonnées[[#This Row],[DEPASSEMENT TOTAL SUR AUTO
]]/-tblDonnées[[#This Row],[MONTANT AUTO]]</f>
        <v>#VALUE!</v>
      </c>
      <c r="Q489" s="33"/>
      <c r="R489" s="33"/>
      <c r="S489" s="33"/>
      <c r="T489" s="40">
        <f>IF(tblDonnées[[#This Row],[0,5% du dép]]&lt;5000,5000,IF(tblDonnées[[#This Row],[0,5% du dép]]&gt;50000,50000,tblDonnées[[#This Row],[0,5% du dép]]))</f>
        <v>5000</v>
      </c>
      <c r="U489" s="10">
        <f>ABS(tblDonnées[[#This Row],[MONTANT DEPASSEMENT]]*0.005)</f>
        <v>0</v>
      </c>
      <c r="V489" s="33"/>
      <c r="W489" s="33"/>
      <c r="X489" s="33"/>
      <c r="Y489" s="33"/>
      <c r="Z489" s="33"/>
    </row>
    <row r="490" spans="1:26" x14ac:dyDescent="0.25">
      <c r="A490" s="33"/>
      <c r="B490" s="12"/>
      <c r="C490" s="33"/>
      <c r="D490" s="41"/>
      <c r="H490" s="21"/>
      <c r="I490" s="33"/>
      <c r="J490" s="42"/>
      <c r="K490" s="43"/>
      <c r="L490" s="44"/>
      <c r="M490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90" s="38">
        <f>tblDonnées[[#This Row],[MONTANT OPERATION]]+tblDonnées[[#This Row],[POS  FUSIONNEE CPTE AVANT OP]]</f>
        <v>0</v>
      </c>
      <c r="O490" s="17" t="str">
        <f>IF(ISBLANK(tblDonnées[[#This Row],[MONTANT AUTO]]), "N/A", ABS(tblDonnées[[#This Row],[POS  FUSIONNEE CPTE APRES OP]])-ABS(tblDonnées[[#This Row],[MONTANT AUTO]]))</f>
        <v>N/A</v>
      </c>
      <c r="P490" s="39" t="e">
        <f>tblDonnées[[#This Row],[DEPASSEMENT TOTAL SUR AUTO
]]/-tblDonnées[[#This Row],[MONTANT AUTO]]</f>
        <v>#VALUE!</v>
      </c>
      <c r="Q490" s="33"/>
      <c r="R490" s="33"/>
      <c r="S490" s="33"/>
      <c r="T490" s="40">
        <f>IF(tblDonnées[[#This Row],[0,5% du dép]]&lt;5000,5000,IF(tblDonnées[[#This Row],[0,5% du dép]]&gt;50000,50000,tblDonnées[[#This Row],[0,5% du dép]]))</f>
        <v>5000</v>
      </c>
      <c r="U490" s="10">
        <f>ABS(tblDonnées[[#This Row],[MONTANT DEPASSEMENT]]*0.005)</f>
        <v>0</v>
      </c>
      <c r="V490" s="33"/>
      <c r="W490" s="33"/>
      <c r="X490" s="33"/>
      <c r="Y490" s="33"/>
      <c r="Z490" s="33"/>
    </row>
    <row r="491" spans="1:26" x14ac:dyDescent="0.25">
      <c r="A491" s="33"/>
      <c r="B491" s="12"/>
      <c r="C491" s="33"/>
      <c r="D491" s="41"/>
      <c r="H491" s="21"/>
      <c r="I491" s="33"/>
      <c r="J491" s="42"/>
      <c r="K491" s="43"/>
      <c r="L491" s="44"/>
      <c r="M491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91" s="38">
        <f>tblDonnées[[#This Row],[MONTANT OPERATION]]+tblDonnées[[#This Row],[POS  FUSIONNEE CPTE AVANT OP]]</f>
        <v>0</v>
      </c>
      <c r="O491" s="17" t="str">
        <f>IF(ISBLANK(tblDonnées[[#This Row],[MONTANT AUTO]]), "N/A", ABS(tblDonnées[[#This Row],[POS  FUSIONNEE CPTE APRES OP]])-ABS(tblDonnées[[#This Row],[MONTANT AUTO]]))</f>
        <v>N/A</v>
      </c>
      <c r="P491" s="39" t="e">
        <f>tblDonnées[[#This Row],[DEPASSEMENT TOTAL SUR AUTO
]]/-tblDonnées[[#This Row],[MONTANT AUTO]]</f>
        <v>#VALUE!</v>
      </c>
      <c r="Q491" s="33"/>
      <c r="R491" s="33"/>
      <c r="S491" s="33"/>
      <c r="T491" s="40">
        <f>IF(tblDonnées[[#This Row],[0,5% du dép]]&lt;5000,5000,IF(tblDonnées[[#This Row],[0,5% du dép]]&gt;50000,50000,tblDonnées[[#This Row],[0,5% du dép]]))</f>
        <v>5000</v>
      </c>
      <c r="U491" s="10">
        <f>ABS(tblDonnées[[#This Row],[MONTANT DEPASSEMENT]]*0.005)</f>
        <v>0</v>
      </c>
      <c r="V491" s="33"/>
      <c r="W491" s="33"/>
      <c r="X491" s="33"/>
      <c r="Y491" s="33"/>
      <c r="Z491" s="33"/>
    </row>
    <row r="492" spans="1:26" x14ac:dyDescent="0.25">
      <c r="A492" s="33"/>
      <c r="B492" s="12"/>
      <c r="C492" s="33"/>
      <c r="D492" s="41"/>
      <c r="H492" s="21"/>
      <c r="I492" s="33"/>
      <c r="J492" s="42"/>
      <c r="K492" s="43"/>
      <c r="L492" s="44"/>
      <c r="M492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92" s="38">
        <f>tblDonnées[[#This Row],[MONTANT OPERATION]]+tblDonnées[[#This Row],[POS  FUSIONNEE CPTE AVANT OP]]</f>
        <v>0</v>
      </c>
      <c r="O492" s="17" t="str">
        <f>IF(ISBLANK(tblDonnées[[#This Row],[MONTANT AUTO]]), "N/A", ABS(tblDonnées[[#This Row],[POS  FUSIONNEE CPTE APRES OP]])-ABS(tblDonnées[[#This Row],[MONTANT AUTO]]))</f>
        <v>N/A</v>
      </c>
      <c r="P492" s="39" t="e">
        <f>tblDonnées[[#This Row],[DEPASSEMENT TOTAL SUR AUTO
]]/-tblDonnées[[#This Row],[MONTANT AUTO]]</f>
        <v>#VALUE!</v>
      </c>
      <c r="Q492" s="33"/>
      <c r="R492" s="33"/>
      <c r="S492" s="33"/>
      <c r="T492" s="40">
        <f>IF(tblDonnées[[#This Row],[0,5% du dép]]&lt;5000,5000,IF(tblDonnées[[#This Row],[0,5% du dép]]&gt;50000,50000,tblDonnées[[#This Row],[0,5% du dép]]))</f>
        <v>5000</v>
      </c>
      <c r="U492" s="10">
        <f>ABS(tblDonnées[[#This Row],[MONTANT DEPASSEMENT]]*0.005)</f>
        <v>0</v>
      </c>
      <c r="V492" s="33"/>
      <c r="W492" s="33"/>
      <c r="X492" s="33"/>
      <c r="Y492" s="33"/>
      <c r="Z492" s="33"/>
    </row>
    <row r="493" spans="1:26" x14ac:dyDescent="0.25">
      <c r="A493" s="33"/>
      <c r="B493" s="12"/>
      <c r="C493" s="33"/>
      <c r="D493" s="41"/>
      <c r="H493" s="21"/>
      <c r="I493" s="33"/>
      <c r="J493" s="42"/>
      <c r="K493" s="43"/>
      <c r="L493" s="44"/>
      <c r="M493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93" s="38">
        <f>tblDonnées[[#This Row],[MONTANT OPERATION]]+tblDonnées[[#This Row],[POS  FUSIONNEE CPTE AVANT OP]]</f>
        <v>0</v>
      </c>
      <c r="O493" s="17" t="str">
        <f>IF(ISBLANK(tblDonnées[[#This Row],[MONTANT AUTO]]), "N/A", ABS(tblDonnées[[#This Row],[POS  FUSIONNEE CPTE APRES OP]])-ABS(tblDonnées[[#This Row],[MONTANT AUTO]]))</f>
        <v>N/A</v>
      </c>
      <c r="P493" s="39" t="e">
        <f>tblDonnées[[#This Row],[DEPASSEMENT TOTAL SUR AUTO
]]/-tblDonnées[[#This Row],[MONTANT AUTO]]</f>
        <v>#VALUE!</v>
      </c>
      <c r="Q493" s="33"/>
      <c r="R493" s="33"/>
      <c r="S493" s="33"/>
      <c r="T493" s="40">
        <f>IF(tblDonnées[[#This Row],[0,5% du dép]]&lt;5000,5000,IF(tblDonnées[[#This Row],[0,5% du dép]]&gt;50000,50000,tblDonnées[[#This Row],[0,5% du dép]]))</f>
        <v>5000</v>
      </c>
      <c r="U493" s="10">
        <f>ABS(tblDonnées[[#This Row],[MONTANT DEPASSEMENT]]*0.005)</f>
        <v>0</v>
      </c>
      <c r="V493" s="33"/>
      <c r="W493" s="33"/>
      <c r="X493" s="33"/>
      <c r="Y493" s="33"/>
      <c r="Z493" s="33"/>
    </row>
    <row r="494" spans="1:26" x14ac:dyDescent="0.25">
      <c r="A494" s="33"/>
      <c r="B494" s="12"/>
      <c r="C494" s="33"/>
      <c r="D494" s="41"/>
      <c r="H494" s="21"/>
      <c r="I494" s="33"/>
      <c r="J494" s="42"/>
      <c r="K494" s="43"/>
      <c r="L494" s="44"/>
      <c r="M494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94" s="38">
        <f>tblDonnées[[#This Row],[MONTANT OPERATION]]+tblDonnées[[#This Row],[POS  FUSIONNEE CPTE AVANT OP]]</f>
        <v>0</v>
      </c>
      <c r="O494" s="17" t="str">
        <f>IF(ISBLANK(tblDonnées[[#This Row],[MONTANT AUTO]]), "N/A", ABS(tblDonnées[[#This Row],[POS  FUSIONNEE CPTE APRES OP]])-ABS(tblDonnées[[#This Row],[MONTANT AUTO]]))</f>
        <v>N/A</v>
      </c>
      <c r="P494" s="39" t="e">
        <f>tblDonnées[[#This Row],[DEPASSEMENT TOTAL SUR AUTO
]]/-tblDonnées[[#This Row],[MONTANT AUTO]]</f>
        <v>#VALUE!</v>
      </c>
      <c r="Q494" s="33"/>
      <c r="R494" s="33"/>
      <c r="S494" s="33"/>
      <c r="T494" s="40">
        <f>IF(tblDonnées[[#This Row],[0,5% du dép]]&lt;5000,5000,IF(tblDonnées[[#This Row],[0,5% du dép]]&gt;50000,50000,tblDonnées[[#This Row],[0,5% du dép]]))</f>
        <v>5000</v>
      </c>
      <c r="U494" s="10">
        <f>ABS(tblDonnées[[#This Row],[MONTANT DEPASSEMENT]]*0.005)</f>
        <v>0</v>
      </c>
      <c r="V494" s="33"/>
      <c r="W494" s="33"/>
      <c r="X494" s="33"/>
      <c r="Y494" s="33"/>
      <c r="Z494" s="33"/>
    </row>
    <row r="495" spans="1:26" x14ac:dyDescent="0.25">
      <c r="A495" s="33"/>
      <c r="B495" s="12"/>
      <c r="C495" s="33"/>
      <c r="D495" s="41"/>
      <c r="E495" s="48"/>
      <c r="F495" s="21"/>
      <c r="H495" s="21"/>
      <c r="I495" s="33"/>
      <c r="J495" s="42"/>
      <c r="K495" s="43"/>
      <c r="L495" s="44"/>
      <c r="M495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95" s="38">
        <f>tblDonnées[[#This Row],[MONTANT OPERATION]]+tblDonnées[[#This Row],[POS  FUSIONNEE CPTE AVANT OP]]</f>
        <v>0</v>
      </c>
      <c r="O495" s="17" t="str">
        <f>IF(ISBLANK(tblDonnées[[#This Row],[MONTANT AUTO]]), "N/A", ABS(tblDonnées[[#This Row],[POS  FUSIONNEE CPTE APRES OP]])-ABS(tblDonnées[[#This Row],[MONTANT AUTO]]))</f>
        <v>N/A</v>
      </c>
      <c r="P495" s="39" t="e">
        <f>tblDonnées[[#This Row],[DEPASSEMENT TOTAL SUR AUTO
]]/-tblDonnées[[#This Row],[MONTANT AUTO]]</f>
        <v>#VALUE!</v>
      </c>
      <c r="Q495" s="33"/>
      <c r="R495" s="33"/>
      <c r="S495" s="33"/>
      <c r="T495" s="40">
        <f>IF(tblDonnées[[#This Row],[0,5% du dép]]&lt;5000,5000,IF(tblDonnées[[#This Row],[0,5% du dép]]&gt;50000,50000,tblDonnées[[#This Row],[0,5% du dép]]))</f>
        <v>5000</v>
      </c>
      <c r="U495" s="10">
        <f>ABS(tblDonnées[[#This Row],[MONTANT DEPASSEMENT]]*0.005)</f>
        <v>0</v>
      </c>
      <c r="V495" s="33"/>
      <c r="W495" s="33"/>
      <c r="X495" s="33"/>
      <c r="Y495" s="33"/>
      <c r="Z495" s="33"/>
    </row>
    <row r="496" spans="1:26" x14ac:dyDescent="0.25">
      <c r="A496" s="33"/>
      <c r="B496" s="12"/>
      <c r="C496" s="33"/>
      <c r="D496" s="41"/>
      <c r="H496" s="21"/>
      <c r="I496" s="33"/>
      <c r="J496" s="42"/>
      <c r="K496" s="43"/>
      <c r="L496" s="44"/>
      <c r="M496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96" s="38">
        <f>tblDonnées[[#This Row],[MONTANT OPERATION]]+tblDonnées[[#This Row],[POS  FUSIONNEE CPTE AVANT OP]]</f>
        <v>0</v>
      </c>
      <c r="O496" s="17" t="str">
        <f>IF(ISBLANK(tblDonnées[[#This Row],[MONTANT AUTO]]), "N/A", ABS(tblDonnées[[#This Row],[POS  FUSIONNEE CPTE APRES OP]])-ABS(tblDonnées[[#This Row],[MONTANT AUTO]]))</f>
        <v>N/A</v>
      </c>
      <c r="P496" s="39" t="e">
        <f>tblDonnées[[#This Row],[DEPASSEMENT TOTAL SUR AUTO
]]/-tblDonnées[[#This Row],[MONTANT AUTO]]</f>
        <v>#VALUE!</v>
      </c>
      <c r="Q496" s="33"/>
      <c r="R496" s="33"/>
      <c r="S496" s="33"/>
      <c r="T496" s="40">
        <f>IF(tblDonnées[[#This Row],[0,5% du dép]]&lt;5000,5000,IF(tblDonnées[[#This Row],[0,5% du dép]]&gt;50000,50000,tblDonnées[[#This Row],[0,5% du dép]]))</f>
        <v>5000</v>
      </c>
      <c r="U496" s="10">
        <f>ABS(tblDonnées[[#This Row],[MONTANT DEPASSEMENT]]*0.005)</f>
        <v>0</v>
      </c>
      <c r="V496" s="33"/>
      <c r="W496" s="33"/>
      <c r="X496" s="33"/>
      <c r="Y496" s="33"/>
      <c r="Z496" s="33"/>
    </row>
    <row r="497" spans="1:26" x14ac:dyDescent="0.25">
      <c r="A497" s="33"/>
      <c r="B497" s="12"/>
      <c r="C497" s="33"/>
      <c r="D497" s="41"/>
      <c r="H497" s="21"/>
      <c r="I497" s="33"/>
      <c r="J497" s="42"/>
      <c r="K497" s="43"/>
      <c r="L497" s="44"/>
      <c r="M497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97" s="38">
        <f>tblDonnées[[#This Row],[MONTANT OPERATION]]+tblDonnées[[#This Row],[POS  FUSIONNEE CPTE AVANT OP]]</f>
        <v>0</v>
      </c>
      <c r="O497" s="17" t="str">
        <f>IF(ISBLANK(tblDonnées[[#This Row],[MONTANT AUTO]]), "N/A", ABS(tblDonnées[[#This Row],[POS  FUSIONNEE CPTE APRES OP]])-ABS(tblDonnées[[#This Row],[MONTANT AUTO]]))</f>
        <v>N/A</v>
      </c>
      <c r="P497" s="39" t="e">
        <f>tblDonnées[[#This Row],[DEPASSEMENT TOTAL SUR AUTO
]]/-tblDonnées[[#This Row],[MONTANT AUTO]]</f>
        <v>#VALUE!</v>
      </c>
      <c r="Q497" s="33"/>
      <c r="R497" s="33"/>
      <c r="S497" s="33"/>
      <c r="T497" s="40">
        <f>IF(tblDonnées[[#This Row],[0,5% du dép]]&lt;5000,5000,IF(tblDonnées[[#This Row],[0,5% du dép]]&gt;50000,50000,tblDonnées[[#This Row],[0,5% du dép]]))</f>
        <v>5000</v>
      </c>
      <c r="U497" s="10">
        <f>ABS(tblDonnées[[#This Row],[MONTANT DEPASSEMENT]]*0.005)</f>
        <v>0</v>
      </c>
      <c r="V497" s="33"/>
      <c r="W497" s="33"/>
      <c r="X497" s="33"/>
      <c r="Y497" s="33"/>
      <c r="Z497" s="33"/>
    </row>
    <row r="498" spans="1:26" x14ac:dyDescent="0.25">
      <c r="A498" s="33"/>
      <c r="B498" s="12"/>
      <c r="C498" s="33"/>
      <c r="D498" s="41"/>
      <c r="H498" s="21"/>
      <c r="I498" s="33"/>
      <c r="J498" s="42"/>
      <c r="K498" s="43"/>
      <c r="L498" s="44"/>
      <c r="M498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98" s="38">
        <f>tblDonnées[[#This Row],[MONTANT OPERATION]]+tblDonnées[[#This Row],[POS  FUSIONNEE CPTE AVANT OP]]</f>
        <v>0</v>
      </c>
      <c r="O498" s="17" t="str">
        <f>IF(ISBLANK(tblDonnées[[#This Row],[MONTANT AUTO]]), "N/A", ABS(tblDonnées[[#This Row],[POS  FUSIONNEE CPTE APRES OP]])-ABS(tblDonnées[[#This Row],[MONTANT AUTO]]))</f>
        <v>N/A</v>
      </c>
      <c r="P498" s="39" t="e">
        <f>tblDonnées[[#This Row],[DEPASSEMENT TOTAL SUR AUTO
]]/-tblDonnées[[#This Row],[MONTANT AUTO]]</f>
        <v>#VALUE!</v>
      </c>
      <c r="Q498" s="33"/>
      <c r="R498" s="33"/>
      <c r="S498" s="33"/>
      <c r="T498" s="40">
        <f>IF(tblDonnées[[#This Row],[0,5% du dép]]&lt;5000,5000,IF(tblDonnées[[#This Row],[0,5% du dép]]&gt;50000,50000,tblDonnées[[#This Row],[0,5% du dép]]))</f>
        <v>5000</v>
      </c>
      <c r="U498" s="10">
        <f>ABS(tblDonnées[[#This Row],[MONTANT DEPASSEMENT]]*0.005)</f>
        <v>0</v>
      </c>
      <c r="V498" s="33"/>
      <c r="W498" s="33"/>
      <c r="X498" s="33"/>
      <c r="Y498" s="33"/>
      <c r="Z498" s="33"/>
    </row>
    <row r="499" spans="1:26" x14ac:dyDescent="0.25">
      <c r="A499" s="33"/>
      <c r="B499" s="12"/>
      <c r="C499" s="33"/>
      <c r="D499" s="41"/>
      <c r="H499" s="21"/>
      <c r="I499" s="33"/>
      <c r="J499" s="42"/>
      <c r="K499" s="43"/>
      <c r="L499" s="44"/>
      <c r="M499" s="17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499" s="38">
        <f>tblDonnées[[#This Row],[MONTANT OPERATION]]+tblDonnées[[#This Row],[POS  FUSIONNEE CPTE AVANT OP]]</f>
        <v>0</v>
      </c>
      <c r="O499" s="17" t="str">
        <f>IF(ISBLANK(tblDonnées[[#This Row],[MONTANT AUTO]]), "N/A", ABS(tblDonnées[[#This Row],[POS  FUSIONNEE CPTE APRES OP]])-ABS(tblDonnées[[#This Row],[MONTANT AUTO]]))</f>
        <v>N/A</v>
      </c>
      <c r="P499" s="39" t="e">
        <f>tblDonnées[[#This Row],[DEPASSEMENT TOTAL SUR AUTO
]]/-tblDonnées[[#This Row],[MONTANT AUTO]]</f>
        <v>#VALUE!</v>
      </c>
      <c r="Q499" s="33"/>
      <c r="R499" s="33"/>
      <c r="S499" s="33"/>
      <c r="T499" s="40">
        <f>IF(tblDonnées[[#This Row],[0,5% du dép]]&lt;5000,5000,IF(tblDonnées[[#This Row],[0,5% du dép]]&gt;50000,50000,tblDonnées[[#This Row],[0,5% du dép]]))</f>
        <v>5000</v>
      </c>
      <c r="U499" s="10">
        <f>ABS(tblDonnées[[#This Row],[MONTANT DEPASSEMENT]]*0.005)</f>
        <v>0</v>
      </c>
      <c r="V499" s="33"/>
      <c r="W499" s="33"/>
      <c r="X499" s="33"/>
      <c r="Y499" s="33"/>
      <c r="Z499" s="33"/>
    </row>
    <row r="500" spans="1:26" x14ac:dyDescent="0.25">
      <c r="A500" s="33"/>
      <c r="B500" s="12"/>
      <c r="C500" s="33"/>
      <c r="E500" s="53"/>
      <c r="G500" s="34"/>
      <c r="H500" s="21"/>
      <c r="I500" s="33"/>
      <c r="J500" s="42"/>
      <c r="K500" s="43"/>
      <c r="L500" s="44"/>
      <c r="M500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00" s="54">
        <f>tblDonnées[[#This Row],[MONTANT OPERATION]]+tblDonnées[[#This Row],[POS  FUSIONNEE CPTE AVANT OP]]</f>
        <v>0</v>
      </c>
      <c r="O500" s="38" t="str">
        <f>IF(ISBLANK(tblDonnées[[#This Row],[MONTANT AUTO]]), "N/A", ABS(tblDonnées[[#This Row],[POS  FUSIONNEE CPTE APRES OP]])-ABS(tblDonnées[[#This Row],[MONTANT AUTO]]))</f>
        <v>N/A</v>
      </c>
      <c r="P500" s="55" t="e">
        <f>tblDonnées[[#This Row],[DEPASSEMENT TOTAL SUR AUTO
]]/-tblDonnées[[#This Row],[MONTANT AUTO]]</f>
        <v>#VALUE!</v>
      </c>
      <c r="Q500" s="33"/>
      <c r="R500" s="33"/>
      <c r="S500" s="33"/>
      <c r="T500" s="40">
        <f>IF(tblDonnées[[#This Row],[0,5% du dép]]&lt;5000,5000,IF(tblDonnées[[#This Row],[0,5% du dép]]&gt;50000,50000,tblDonnées[[#This Row],[0,5% du dép]]))</f>
        <v>5000</v>
      </c>
      <c r="U500" s="56">
        <f>ABS(tblDonnées[[#This Row],[MONTANT DEPASSEMENT]]*0.005)</f>
        <v>0</v>
      </c>
      <c r="V500" s="33"/>
      <c r="W500" s="33"/>
      <c r="X500" s="33"/>
      <c r="Y500" s="33"/>
      <c r="Z500" s="33"/>
    </row>
    <row r="501" spans="1:26" x14ac:dyDescent="0.25">
      <c r="A501" s="33"/>
      <c r="B501" s="12"/>
      <c r="C501" s="33"/>
      <c r="E501" s="53"/>
      <c r="G501" s="34"/>
      <c r="H501" s="33"/>
      <c r="I501" s="33"/>
      <c r="J501" s="42"/>
      <c r="K501" s="43"/>
      <c r="L501" s="44"/>
      <c r="M501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01" s="54">
        <f>tblDonnées[[#This Row],[MONTANT OPERATION]]+tblDonnées[[#This Row],[POS  FUSIONNEE CPTE AVANT OP]]</f>
        <v>0</v>
      </c>
      <c r="O501" s="38" t="str">
        <f>IF(ISBLANK(tblDonnées[[#This Row],[MONTANT AUTO]]), "N/A", ABS(tblDonnées[[#This Row],[POS  FUSIONNEE CPTE APRES OP]])-ABS(tblDonnées[[#This Row],[MONTANT AUTO]]))</f>
        <v>N/A</v>
      </c>
      <c r="P501" s="55" t="e">
        <f>tblDonnées[[#This Row],[DEPASSEMENT TOTAL SUR AUTO
]]/-tblDonnées[[#This Row],[MONTANT AUTO]]</f>
        <v>#VALUE!</v>
      </c>
      <c r="Q501" s="33"/>
      <c r="R501" s="33"/>
      <c r="S501" s="33"/>
      <c r="T501" s="40">
        <f>IF(tblDonnées[[#This Row],[0,5% du dép]]&lt;5000,5000,IF(tblDonnées[[#This Row],[0,5% du dép]]&gt;50000,50000,tblDonnées[[#This Row],[0,5% du dép]]))</f>
        <v>5000</v>
      </c>
      <c r="U501" s="56">
        <f>ABS(tblDonnées[[#This Row],[MONTANT DEPASSEMENT]]*0.005)</f>
        <v>0</v>
      </c>
      <c r="V501" s="33"/>
      <c r="W501" s="33"/>
      <c r="X501" s="33"/>
      <c r="Y501" s="33"/>
      <c r="Z501" s="33"/>
    </row>
    <row r="502" spans="1:26" x14ac:dyDescent="0.25">
      <c r="A502" s="33"/>
      <c r="B502" s="33"/>
      <c r="C502" s="33"/>
      <c r="E502" s="53"/>
      <c r="G502" s="34"/>
      <c r="H502" s="33"/>
      <c r="I502" s="33"/>
      <c r="J502" s="42"/>
      <c r="K502" s="43"/>
      <c r="L502" s="44"/>
      <c r="M502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02" s="54">
        <f>tblDonnées[[#This Row],[MONTANT OPERATION]]+tblDonnées[[#This Row],[POS  FUSIONNEE CPTE AVANT OP]]</f>
        <v>0</v>
      </c>
      <c r="O502" s="38" t="str">
        <f>IF(ISBLANK(tblDonnées[[#This Row],[MONTANT AUTO]]), "N/A", ABS(tblDonnées[[#This Row],[POS  FUSIONNEE CPTE APRES OP]])-ABS(tblDonnées[[#This Row],[MONTANT AUTO]]))</f>
        <v>N/A</v>
      </c>
      <c r="P502" s="55" t="e">
        <f>tblDonnées[[#This Row],[DEPASSEMENT TOTAL SUR AUTO
]]/-tblDonnées[[#This Row],[MONTANT AUTO]]</f>
        <v>#VALUE!</v>
      </c>
      <c r="Q502" s="33"/>
      <c r="R502" s="33"/>
      <c r="S502" s="33"/>
      <c r="T502" s="40">
        <f>IF(tblDonnées[[#This Row],[0,5% du dép]]&lt;5000,5000,IF(tblDonnées[[#This Row],[0,5% du dép]]&gt;50000,50000,tblDonnées[[#This Row],[0,5% du dép]]))</f>
        <v>5000</v>
      </c>
      <c r="U502" s="56">
        <f>ABS(tblDonnées[[#This Row],[MONTANT DEPASSEMENT]]*0.005)</f>
        <v>0</v>
      </c>
      <c r="V502" s="33"/>
      <c r="W502" s="33"/>
      <c r="X502" s="33"/>
      <c r="Y502" s="33"/>
      <c r="Z502" s="33"/>
    </row>
    <row r="503" spans="1:26" x14ac:dyDescent="0.25">
      <c r="A503" s="33"/>
      <c r="B503" s="33"/>
      <c r="C503" s="33"/>
      <c r="E503" s="53"/>
      <c r="G503" s="34"/>
      <c r="H503" s="33"/>
      <c r="I503" s="33"/>
      <c r="J503" s="42"/>
      <c r="K503" s="43"/>
      <c r="L503" s="44"/>
      <c r="M503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03" s="54">
        <f>tblDonnées[[#This Row],[MONTANT OPERATION]]+tblDonnées[[#This Row],[POS  FUSIONNEE CPTE AVANT OP]]</f>
        <v>0</v>
      </c>
      <c r="O503" s="38" t="str">
        <f>IF(ISBLANK(tblDonnées[[#This Row],[MONTANT AUTO]]), "N/A", ABS(tblDonnées[[#This Row],[POS  FUSIONNEE CPTE APRES OP]])-ABS(tblDonnées[[#This Row],[MONTANT AUTO]]))</f>
        <v>N/A</v>
      </c>
      <c r="P503" s="55" t="e">
        <f>tblDonnées[[#This Row],[DEPASSEMENT TOTAL SUR AUTO
]]/-tblDonnées[[#This Row],[MONTANT AUTO]]</f>
        <v>#VALUE!</v>
      </c>
      <c r="Q503" s="33"/>
      <c r="R503" s="33"/>
      <c r="S503" s="33"/>
      <c r="T503" s="40">
        <f>IF(tblDonnées[[#This Row],[0,5% du dép]]&lt;5000,5000,IF(tblDonnées[[#This Row],[0,5% du dép]]&gt;50000,50000,tblDonnées[[#This Row],[0,5% du dép]]))</f>
        <v>5000</v>
      </c>
      <c r="U503" s="56">
        <f>ABS(tblDonnées[[#This Row],[MONTANT DEPASSEMENT]]*0.005)</f>
        <v>0</v>
      </c>
      <c r="V503" s="33"/>
      <c r="W503" s="33"/>
      <c r="X503" s="33"/>
      <c r="Y503" s="33"/>
      <c r="Z503" s="33"/>
    </row>
    <row r="504" spans="1:26" x14ac:dyDescent="0.25">
      <c r="A504" s="33"/>
      <c r="B504" s="33"/>
      <c r="C504" s="33"/>
      <c r="E504" s="53"/>
      <c r="G504" s="34"/>
      <c r="H504" s="33"/>
      <c r="I504" s="33"/>
      <c r="J504" s="42"/>
      <c r="K504" s="43"/>
      <c r="L504" s="44"/>
      <c r="M504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04" s="54">
        <f>tblDonnées[[#This Row],[MONTANT OPERATION]]+tblDonnées[[#This Row],[POS  FUSIONNEE CPTE AVANT OP]]</f>
        <v>0</v>
      </c>
      <c r="O504" s="38" t="str">
        <f>IF(ISBLANK(tblDonnées[[#This Row],[MONTANT AUTO]]), "N/A", ABS(tblDonnées[[#This Row],[POS  FUSIONNEE CPTE APRES OP]])-ABS(tblDonnées[[#This Row],[MONTANT AUTO]]))</f>
        <v>N/A</v>
      </c>
      <c r="P504" s="55" t="e">
        <f>tblDonnées[[#This Row],[DEPASSEMENT TOTAL SUR AUTO
]]/-tblDonnées[[#This Row],[MONTANT AUTO]]</f>
        <v>#VALUE!</v>
      </c>
      <c r="Q504" s="33"/>
      <c r="R504" s="33"/>
      <c r="S504" s="33"/>
      <c r="T504" s="40">
        <f>IF(tblDonnées[[#This Row],[0,5% du dép]]&lt;5000,5000,IF(tblDonnées[[#This Row],[0,5% du dép]]&gt;50000,50000,tblDonnées[[#This Row],[0,5% du dép]]))</f>
        <v>5000</v>
      </c>
      <c r="U504" s="56">
        <f>ABS(tblDonnées[[#This Row],[MONTANT DEPASSEMENT]]*0.005)</f>
        <v>0</v>
      </c>
      <c r="V504" s="33"/>
      <c r="W504" s="33"/>
      <c r="X504" s="33"/>
      <c r="Y504" s="33"/>
      <c r="Z504" s="33"/>
    </row>
    <row r="505" spans="1:26" x14ac:dyDescent="0.25">
      <c r="A505" s="33"/>
      <c r="B505" s="33"/>
      <c r="C505" s="33"/>
      <c r="E505" s="53"/>
      <c r="G505" s="34"/>
      <c r="H505" s="33"/>
      <c r="I505" s="33"/>
      <c r="J505" s="42"/>
      <c r="K505" s="43"/>
      <c r="L505" s="44"/>
      <c r="M505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05" s="54">
        <f>tblDonnées[[#This Row],[MONTANT OPERATION]]+tblDonnées[[#This Row],[POS  FUSIONNEE CPTE AVANT OP]]</f>
        <v>0</v>
      </c>
      <c r="O505" s="38" t="str">
        <f>IF(ISBLANK(tblDonnées[[#This Row],[MONTANT AUTO]]), "N/A", ABS(tblDonnées[[#This Row],[POS  FUSIONNEE CPTE APRES OP]])-ABS(tblDonnées[[#This Row],[MONTANT AUTO]]))</f>
        <v>N/A</v>
      </c>
      <c r="P505" s="55" t="e">
        <f>tblDonnées[[#This Row],[DEPASSEMENT TOTAL SUR AUTO
]]/-tblDonnées[[#This Row],[MONTANT AUTO]]</f>
        <v>#VALUE!</v>
      </c>
      <c r="Q505" s="33"/>
      <c r="R505" s="33"/>
      <c r="S505" s="33"/>
      <c r="T505" s="40">
        <f>IF(tblDonnées[[#This Row],[0,5% du dép]]&lt;5000,5000,IF(tblDonnées[[#This Row],[0,5% du dép]]&gt;50000,50000,tblDonnées[[#This Row],[0,5% du dép]]))</f>
        <v>5000</v>
      </c>
      <c r="U505" s="56">
        <f>ABS(tblDonnées[[#This Row],[MONTANT DEPASSEMENT]]*0.005)</f>
        <v>0</v>
      </c>
      <c r="V505" s="33"/>
      <c r="W505" s="33"/>
      <c r="X505" s="33"/>
      <c r="Y505" s="33"/>
      <c r="Z505" s="33"/>
    </row>
    <row r="506" spans="1:26" x14ac:dyDescent="0.25">
      <c r="A506" s="33"/>
      <c r="B506" s="33"/>
      <c r="C506" s="33"/>
      <c r="E506" s="53"/>
      <c r="G506" s="34"/>
      <c r="H506" s="33"/>
      <c r="I506" s="33"/>
      <c r="J506" s="42"/>
      <c r="K506" s="43"/>
      <c r="L506" s="44"/>
      <c r="M506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06" s="54">
        <f>tblDonnées[[#This Row],[MONTANT OPERATION]]+tblDonnées[[#This Row],[POS  FUSIONNEE CPTE AVANT OP]]</f>
        <v>0</v>
      </c>
      <c r="O506" s="38" t="str">
        <f>IF(ISBLANK(tblDonnées[[#This Row],[MONTANT AUTO]]), "N/A", ABS(tblDonnées[[#This Row],[POS  FUSIONNEE CPTE APRES OP]])-ABS(tblDonnées[[#This Row],[MONTANT AUTO]]))</f>
        <v>N/A</v>
      </c>
      <c r="P506" s="55" t="e">
        <f>tblDonnées[[#This Row],[DEPASSEMENT TOTAL SUR AUTO
]]/-tblDonnées[[#This Row],[MONTANT AUTO]]</f>
        <v>#VALUE!</v>
      </c>
      <c r="Q506" s="33"/>
      <c r="R506" s="33"/>
      <c r="S506" s="33"/>
      <c r="T506" s="40">
        <f>IF(tblDonnées[[#This Row],[0,5% du dép]]&lt;5000,5000,IF(tblDonnées[[#This Row],[0,5% du dép]]&gt;50000,50000,tblDonnées[[#This Row],[0,5% du dép]]))</f>
        <v>5000</v>
      </c>
      <c r="U506" s="56">
        <f>ABS(tblDonnées[[#This Row],[MONTANT DEPASSEMENT]]*0.005)</f>
        <v>0</v>
      </c>
      <c r="V506" s="33"/>
      <c r="W506" s="33"/>
      <c r="X506" s="33"/>
      <c r="Y506" s="33"/>
      <c r="Z506" s="33"/>
    </row>
    <row r="507" spans="1:26" x14ac:dyDescent="0.25">
      <c r="A507" s="33"/>
      <c r="B507" s="33"/>
      <c r="C507" s="33"/>
      <c r="E507" s="53"/>
      <c r="G507" s="34"/>
      <c r="H507" s="33"/>
      <c r="I507" s="33"/>
      <c r="J507" s="42"/>
      <c r="K507" s="43"/>
      <c r="L507" s="44"/>
      <c r="M507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07" s="54">
        <f>tblDonnées[[#This Row],[MONTANT OPERATION]]+tblDonnées[[#This Row],[POS  FUSIONNEE CPTE AVANT OP]]</f>
        <v>0</v>
      </c>
      <c r="O507" s="38" t="str">
        <f>IF(ISBLANK(tblDonnées[[#This Row],[MONTANT AUTO]]), "N/A", ABS(tblDonnées[[#This Row],[POS  FUSIONNEE CPTE APRES OP]])-ABS(tblDonnées[[#This Row],[MONTANT AUTO]]))</f>
        <v>N/A</v>
      </c>
      <c r="P507" s="55" t="e">
        <f>tblDonnées[[#This Row],[DEPASSEMENT TOTAL SUR AUTO
]]/-tblDonnées[[#This Row],[MONTANT AUTO]]</f>
        <v>#VALUE!</v>
      </c>
      <c r="Q507" s="33"/>
      <c r="R507" s="33"/>
      <c r="S507" s="33"/>
      <c r="T507" s="40">
        <f>IF(tblDonnées[[#This Row],[0,5% du dép]]&lt;5000,5000,IF(tblDonnées[[#This Row],[0,5% du dép]]&gt;50000,50000,tblDonnées[[#This Row],[0,5% du dép]]))</f>
        <v>5000</v>
      </c>
      <c r="U507" s="56">
        <f>ABS(tblDonnées[[#This Row],[MONTANT DEPASSEMENT]]*0.005)</f>
        <v>0</v>
      </c>
      <c r="V507" s="33"/>
      <c r="W507" s="33"/>
      <c r="X507" s="33"/>
      <c r="Y507" s="33"/>
      <c r="Z507" s="33"/>
    </row>
    <row r="508" spans="1:26" x14ac:dyDescent="0.25">
      <c r="A508" s="33"/>
      <c r="B508" s="33"/>
      <c r="C508" s="33"/>
      <c r="E508" s="53"/>
      <c r="G508" s="34"/>
      <c r="H508" s="33"/>
      <c r="I508" s="33"/>
      <c r="J508" s="42"/>
      <c r="K508" s="43"/>
      <c r="L508" s="44"/>
      <c r="M508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08" s="54">
        <f>tblDonnées[[#This Row],[MONTANT OPERATION]]+tblDonnées[[#This Row],[POS  FUSIONNEE CPTE AVANT OP]]</f>
        <v>0</v>
      </c>
      <c r="O508" s="38" t="str">
        <f>IF(ISBLANK(tblDonnées[[#This Row],[MONTANT AUTO]]), "N/A", ABS(tblDonnées[[#This Row],[POS  FUSIONNEE CPTE APRES OP]])-ABS(tblDonnées[[#This Row],[MONTANT AUTO]]))</f>
        <v>N/A</v>
      </c>
      <c r="P508" s="55" t="e">
        <f>tblDonnées[[#This Row],[DEPASSEMENT TOTAL SUR AUTO
]]/-tblDonnées[[#This Row],[MONTANT AUTO]]</f>
        <v>#VALUE!</v>
      </c>
      <c r="Q508" s="33"/>
      <c r="R508" s="33"/>
      <c r="S508" s="33"/>
      <c r="T508" s="40">
        <f>IF(tblDonnées[[#This Row],[0,5% du dép]]&lt;5000,5000,IF(tblDonnées[[#This Row],[0,5% du dép]]&gt;50000,50000,tblDonnées[[#This Row],[0,5% du dép]]))</f>
        <v>5000</v>
      </c>
      <c r="U508" s="56">
        <f>ABS(tblDonnées[[#This Row],[MONTANT DEPASSEMENT]]*0.005)</f>
        <v>0</v>
      </c>
      <c r="V508" s="33"/>
      <c r="W508" s="33"/>
      <c r="X508" s="33"/>
      <c r="Y508" s="33"/>
      <c r="Z508" s="33"/>
    </row>
    <row r="509" spans="1:26" x14ac:dyDescent="0.25">
      <c r="A509" s="33"/>
      <c r="B509" s="33"/>
      <c r="C509" s="33"/>
      <c r="E509" s="53"/>
      <c r="G509" s="34"/>
      <c r="H509" s="33"/>
      <c r="I509" s="33"/>
      <c r="J509" s="42"/>
      <c r="K509" s="43"/>
      <c r="L509" s="44"/>
      <c r="M509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09" s="54">
        <f>tblDonnées[[#This Row],[MONTANT OPERATION]]+tblDonnées[[#This Row],[POS  FUSIONNEE CPTE AVANT OP]]</f>
        <v>0</v>
      </c>
      <c r="O509" s="38" t="str">
        <f>IF(ISBLANK(tblDonnées[[#This Row],[MONTANT AUTO]]), "N/A", ABS(tblDonnées[[#This Row],[POS  FUSIONNEE CPTE APRES OP]])-ABS(tblDonnées[[#This Row],[MONTANT AUTO]]))</f>
        <v>N/A</v>
      </c>
      <c r="P509" s="55" t="e">
        <f>tblDonnées[[#This Row],[DEPASSEMENT TOTAL SUR AUTO
]]/-tblDonnées[[#This Row],[MONTANT AUTO]]</f>
        <v>#VALUE!</v>
      </c>
      <c r="Q509" s="33"/>
      <c r="R509" s="33"/>
      <c r="S509" s="33"/>
      <c r="T509" s="40">
        <f>IF(tblDonnées[[#This Row],[0,5% du dép]]&lt;5000,5000,IF(tblDonnées[[#This Row],[0,5% du dép]]&gt;50000,50000,tblDonnées[[#This Row],[0,5% du dép]]))</f>
        <v>5000</v>
      </c>
      <c r="U509" s="56">
        <f>ABS(tblDonnées[[#This Row],[MONTANT DEPASSEMENT]]*0.005)</f>
        <v>0</v>
      </c>
      <c r="V509" s="33"/>
      <c r="W509" s="33"/>
      <c r="X509" s="33"/>
      <c r="Y509" s="33"/>
      <c r="Z509" s="33"/>
    </row>
    <row r="510" spans="1:26" x14ac:dyDescent="0.25">
      <c r="A510" s="33"/>
      <c r="B510" s="33"/>
      <c r="C510" s="33"/>
      <c r="E510" s="53"/>
      <c r="G510" s="34"/>
      <c r="H510" s="33"/>
      <c r="I510" s="33"/>
      <c r="J510" s="42"/>
      <c r="K510" s="43"/>
      <c r="L510" s="44"/>
      <c r="M510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10" s="54">
        <f>tblDonnées[[#This Row],[MONTANT OPERATION]]+tblDonnées[[#This Row],[POS  FUSIONNEE CPTE AVANT OP]]</f>
        <v>0</v>
      </c>
      <c r="O510" s="38" t="str">
        <f>IF(ISBLANK(tblDonnées[[#This Row],[MONTANT AUTO]]), "N/A", ABS(tblDonnées[[#This Row],[POS  FUSIONNEE CPTE APRES OP]])-ABS(tblDonnées[[#This Row],[MONTANT AUTO]]))</f>
        <v>N/A</v>
      </c>
      <c r="P510" s="55" t="e">
        <f>tblDonnées[[#This Row],[DEPASSEMENT TOTAL SUR AUTO
]]/-tblDonnées[[#This Row],[MONTANT AUTO]]</f>
        <v>#VALUE!</v>
      </c>
      <c r="Q510" s="33"/>
      <c r="R510" s="33"/>
      <c r="S510" s="33"/>
      <c r="T510" s="40">
        <f>IF(tblDonnées[[#This Row],[0,5% du dép]]&lt;5000,5000,IF(tblDonnées[[#This Row],[0,5% du dép]]&gt;50000,50000,tblDonnées[[#This Row],[0,5% du dép]]))</f>
        <v>5000</v>
      </c>
      <c r="U510" s="56">
        <f>ABS(tblDonnées[[#This Row],[MONTANT DEPASSEMENT]]*0.005)</f>
        <v>0</v>
      </c>
      <c r="V510" s="33"/>
      <c r="W510" s="33"/>
      <c r="X510" s="33"/>
      <c r="Y510" s="33"/>
      <c r="Z510" s="33"/>
    </row>
    <row r="511" spans="1:26" x14ac:dyDescent="0.25">
      <c r="A511" s="33"/>
      <c r="B511" s="33"/>
      <c r="C511" s="33"/>
      <c r="E511" s="53"/>
      <c r="G511" s="34"/>
      <c r="H511" s="33"/>
      <c r="I511" s="33"/>
      <c r="J511" s="42"/>
      <c r="K511" s="43"/>
      <c r="L511" s="44"/>
      <c r="M511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11" s="54">
        <f>tblDonnées[[#This Row],[MONTANT OPERATION]]+tblDonnées[[#This Row],[POS  FUSIONNEE CPTE AVANT OP]]</f>
        <v>0</v>
      </c>
      <c r="O511" s="38" t="str">
        <f>IF(ISBLANK(tblDonnées[[#This Row],[MONTANT AUTO]]), "N/A", ABS(tblDonnées[[#This Row],[POS  FUSIONNEE CPTE APRES OP]])-ABS(tblDonnées[[#This Row],[MONTANT AUTO]]))</f>
        <v>N/A</v>
      </c>
      <c r="P511" s="55" t="e">
        <f>tblDonnées[[#This Row],[DEPASSEMENT TOTAL SUR AUTO
]]/-tblDonnées[[#This Row],[MONTANT AUTO]]</f>
        <v>#VALUE!</v>
      </c>
      <c r="Q511" s="33"/>
      <c r="R511" s="33"/>
      <c r="S511" s="33"/>
      <c r="T511" s="40">
        <f>IF(tblDonnées[[#This Row],[0,5% du dép]]&lt;5000,5000,IF(tblDonnées[[#This Row],[0,5% du dép]]&gt;50000,50000,tblDonnées[[#This Row],[0,5% du dép]]))</f>
        <v>5000</v>
      </c>
      <c r="U511" s="56">
        <f>ABS(tblDonnées[[#This Row],[MONTANT DEPASSEMENT]]*0.005)</f>
        <v>0</v>
      </c>
      <c r="V511" s="33"/>
      <c r="W511" s="33"/>
      <c r="X511" s="33"/>
      <c r="Y511" s="33"/>
      <c r="Z511" s="33"/>
    </row>
    <row r="512" spans="1:26" x14ac:dyDescent="0.25">
      <c r="A512" s="33"/>
      <c r="B512" s="33"/>
      <c r="C512" s="33"/>
      <c r="E512" s="53"/>
      <c r="G512" s="34"/>
      <c r="H512" s="33"/>
      <c r="I512" s="33"/>
      <c r="J512" s="42"/>
      <c r="K512" s="43"/>
      <c r="L512" s="44"/>
      <c r="M512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12" s="54">
        <f>tblDonnées[[#This Row],[MONTANT OPERATION]]+tblDonnées[[#This Row],[POS  FUSIONNEE CPTE AVANT OP]]</f>
        <v>0</v>
      </c>
      <c r="O512" s="38" t="str">
        <f>IF(ISBLANK(tblDonnées[[#This Row],[MONTANT AUTO]]), "N/A", ABS(tblDonnées[[#This Row],[POS  FUSIONNEE CPTE APRES OP]])-ABS(tblDonnées[[#This Row],[MONTANT AUTO]]))</f>
        <v>N/A</v>
      </c>
      <c r="P512" s="55" t="e">
        <f>tblDonnées[[#This Row],[DEPASSEMENT TOTAL SUR AUTO
]]/-tblDonnées[[#This Row],[MONTANT AUTO]]</f>
        <v>#VALUE!</v>
      </c>
      <c r="Q512" s="33"/>
      <c r="R512" s="33"/>
      <c r="S512" s="33"/>
      <c r="T512" s="40">
        <f>IF(tblDonnées[[#This Row],[0,5% du dép]]&lt;5000,5000,IF(tblDonnées[[#This Row],[0,5% du dép]]&gt;50000,50000,tblDonnées[[#This Row],[0,5% du dép]]))</f>
        <v>5000</v>
      </c>
      <c r="U512" s="56">
        <f>ABS(tblDonnées[[#This Row],[MONTANT DEPASSEMENT]]*0.005)</f>
        <v>0</v>
      </c>
      <c r="V512" s="33"/>
      <c r="W512" s="33"/>
      <c r="X512" s="33"/>
      <c r="Y512" s="33"/>
      <c r="Z512" s="33"/>
    </row>
    <row r="513" spans="1:26" x14ac:dyDescent="0.25">
      <c r="A513" s="33"/>
      <c r="B513" s="33"/>
      <c r="C513" s="33"/>
      <c r="E513" s="53"/>
      <c r="G513" s="34"/>
      <c r="H513" s="33"/>
      <c r="I513" s="33"/>
      <c r="J513" s="42"/>
      <c r="K513" s="43"/>
      <c r="L513" s="44"/>
      <c r="M513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13" s="54">
        <f>tblDonnées[[#This Row],[MONTANT OPERATION]]+tblDonnées[[#This Row],[POS  FUSIONNEE CPTE AVANT OP]]</f>
        <v>0</v>
      </c>
      <c r="O513" s="38" t="str">
        <f>IF(ISBLANK(tblDonnées[[#This Row],[MONTANT AUTO]]), "N/A", ABS(tblDonnées[[#This Row],[POS  FUSIONNEE CPTE APRES OP]])-ABS(tblDonnées[[#This Row],[MONTANT AUTO]]))</f>
        <v>N/A</v>
      </c>
      <c r="P513" s="55" t="e">
        <f>tblDonnées[[#This Row],[DEPASSEMENT TOTAL SUR AUTO
]]/-tblDonnées[[#This Row],[MONTANT AUTO]]</f>
        <v>#VALUE!</v>
      </c>
      <c r="Q513" s="33"/>
      <c r="R513" s="33"/>
      <c r="S513" s="33"/>
      <c r="T513" s="40">
        <f>IF(tblDonnées[[#This Row],[0,5% du dép]]&lt;5000,5000,IF(tblDonnées[[#This Row],[0,5% du dép]]&gt;50000,50000,tblDonnées[[#This Row],[0,5% du dép]]))</f>
        <v>5000</v>
      </c>
      <c r="U513" s="56">
        <f>ABS(tblDonnées[[#This Row],[MONTANT DEPASSEMENT]]*0.005)</f>
        <v>0</v>
      </c>
      <c r="V513" s="33"/>
      <c r="W513" s="33"/>
      <c r="X513" s="33"/>
      <c r="Y513" s="33"/>
      <c r="Z513" s="33"/>
    </row>
    <row r="514" spans="1:26" x14ac:dyDescent="0.25">
      <c r="A514" s="33"/>
      <c r="B514" s="33"/>
      <c r="C514" s="33"/>
      <c r="E514" s="53"/>
      <c r="G514" s="34"/>
      <c r="H514" s="33"/>
      <c r="I514" s="33"/>
      <c r="J514" s="42"/>
      <c r="K514" s="43"/>
      <c r="L514" s="44"/>
      <c r="M514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14" s="54">
        <f>tblDonnées[[#This Row],[MONTANT OPERATION]]+tblDonnées[[#This Row],[POS  FUSIONNEE CPTE AVANT OP]]</f>
        <v>0</v>
      </c>
      <c r="O514" s="38" t="str">
        <f>IF(ISBLANK(tblDonnées[[#This Row],[MONTANT AUTO]]), "N/A", ABS(tblDonnées[[#This Row],[POS  FUSIONNEE CPTE APRES OP]])-ABS(tblDonnées[[#This Row],[MONTANT AUTO]]))</f>
        <v>N/A</v>
      </c>
      <c r="P514" s="55" t="e">
        <f>tblDonnées[[#This Row],[DEPASSEMENT TOTAL SUR AUTO
]]/-tblDonnées[[#This Row],[MONTANT AUTO]]</f>
        <v>#VALUE!</v>
      </c>
      <c r="Q514" s="33"/>
      <c r="R514" s="33"/>
      <c r="S514" s="33"/>
      <c r="T514" s="40">
        <f>IF(tblDonnées[[#This Row],[0,5% du dép]]&lt;5000,5000,IF(tblDonnées[[#This Row],[0,5% du dép]]&gt;50000,50000,tblDonnées[[#This Row],[0,5% du dép]]))</f>
        <v>5000</v>
      </c>
      <c r="U514" s="56">
        <f>ABS(tblDonnées[[#This Row],[MONTANT DEPASSEMENT]]*0.005)</f>
        <v>0</v>
      </c>
      <c r="V514" s="33"/>
      <c r="W514" s="33"/>
      <c r="X514" s="33"/>
      <c r="Y514" s="33"/>
      <c r="Z514" s="33"/>
    </row>
    <row r="515" spans="1:26" x14ac:dyDescent="0.25">
      <c r="A515" s="33"/>
      <c r="B515" s="33"/>
      <c r="C515" s="33"/>
      <c r="E515" s="53"/>
      <c r="G515" s="34"/>
      <c r="H515" s="33"/>
      <c r="I515" s="33"/>
      <c r="J515" s="42"/>
      <c r="K515" s="43"/>
      <c r="L515" s="44"/>
      <c r="M515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15" s="54">
        <f>tblDonnées[[#This Row],[MONTANT OPERATION]]+tblDonnées[[#This Row],[POS  FUSIONNEE CPTE AVANT OP]]</f>
        <v>0</v>
      </c>
      <c r="O515" s="38" t="str">
        <f>IF(ISBLANK(tblDonnées[[#This Row],[MONTANT AUTO]]), "N/A", ABS(tblDonnées[[#This Row],[POS  FUSIONNEE CPTE APRES OP]])-ABS(tblDonnées[[#This Row],[MONTANT AUTO]]))</f>
        <v>N/A</v>
      </c>
      <c r="P515" s="55" t="e">
        <f>tblDonnées[[#This Row],[DEPASSEMENT TOTAL SUR AUTO
]]/-tblDonnées[[#This Row],[MONTANT AUTO]]</f>
        <v>#VALUE!</v>
      </c>
      <c r="Q515" s="33"/>
      <c r="R515" s="33"/>
      <c r="S515" s="33"/>
      <c r="T515" s="40">
        <f>IF(tblDonnées[[#This Row],[0,5% du dép]]&lt;5000,5000,IF(tblDonnées[[#This Row],[0,5% du dép]]&gt;50000,50000,tblDonnées[[#This Row],[0,5% du dép]]))</f>
        <v>5000</v>
      </c>
      <c r="U515" s="56">
        <f>ABS(tblDonnées[[#This Row],[MONTANT DEPASSEMENT]]*0.005)</f>
        <v>0</v>
      </c>
      <c r="V515" s="33"/>
      <c r="W515" s="33"/>
      <c r="X515" s="33"/>
      <c r="Y515" s="33"/>
      <c r="Z515" s="33"/>
    </row>
    <row r="516" spans="1:26" x14ac:dyDescent="0.25">
      <c r="A516" s="33"/>
      <c r="B516" s="33"/>
      <c r="C516" s="33"/>
      <c r="E516" s="53"/>
      <c r="G516" s="34"/>
      <c r="H516" s="33"/>
      <c r="I516" s="33"/>
      <c r="J516" s="42"/>
      <c r="K516" s="43"/>
      <c r="L516" s="44"/>
      <c r="M516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16" s="54">
        <f>tblDonnées[[#This Row],[MONTANT OPERATION]]+tblDonnées[[#This Row],[POS  FUSIONNEE CPTE AVANT OP]]</f>
        <v>0</v>
      </c>
      <c r="O516" s="38" t="str">
        <f>IF(ISBLANK(tblDonnées[[#This Row],[MONTANT AUTO]]), "N/A", ABS(tblDonnées[[#This Row],[POS  FUSIONNEE CPTE APRES OP]])-ABS(tblDonnées[[#This Row],[MONTANT AUTO]]))</f>
        <v>N/A</v>
      </c>
      <c r="P516" s="55" t="e">
        <f>tblDonnées[[#This Row],[DEPASSEMENT TOTAL SUR AUTO
]]/-tblDonnées[[#This Row],[MONTANT AUTO]]</f>
        <v>#VALUE!</v>
      </c>
      <c r="Q516" s="33"/>
      <c r="R516" s="33"/>
      <c r="S516" s="33"/>
      <c r="T516" s="40">
        <f>IF(tblDonnées[[#This Row],[0,5% du dép]]&lt;5000,5000,IF(tblDonnées[[#This Row],[0,5% du dép]]&gt;50000,50000,tblDonnées[[#This Row],[0,5% du dép]]))</f>
        <v>5000</v>
      </c>
      <c r="U516" s="56">
        <f>ABS(tblDonnées[[#This Row],[MONTANT DEPASSEMENT]]*0.005)</f>
        <v>0</v>
      </c>
      <c r="V516" s="33"/>
      <c r="W516" s="33"/>
      <c r="X516" s="33"/>
      <c r="Y516" s="33"/>
      <c r="Z516" s="33"/>
    </row>
    <row r="517" spans="1:26" x14ac:dyDescent="0.25">
      <c r="A517" s="33"/>
      <c r="B517" s="33"/>
      <c r="C517" s="33"/>
      <c r="E517" s="53"/>
      <c r="G517" s="34"/>
      <c r="H517" s="33"/>
      <c r="I517" s="33"/>
      <c r="J517" s="42"/>
      <c r="K517" s="43"/>
      <c r="L517" s="44"/>
      <c r="M517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17" s="54">
        <f>tblDonnées[[#This Row],[MONTANT OPERATION]]+tblDonnées[[#This Row],[POS  FUSIONNEE CPTE AVANT OP]]</f>
        <v>0</v>
      </c>
      <c r="O517" s="38" t="str">
        <f>IF(ISBLANK(tblDonnées[[#This Row],[MONTANT AUTO]]), "N/A", ABS(tblDonnées[[#This Row],[POS  FUSIONNEE CPTE APRES OP]])-ABS(tblDonnées[[#This Row],[MONTANT AUTO]]))</f>
        <v>N/A</v>
      </c>
      <c r="P517" s="55" t="e">
        <f>tblDonnées[[#This Row],[DEPASSEMENT TOTAL SUR AUTO
]]/-tblDonnées[[#This Row],[MONTANT AUTO]]</f>
        <v>#VALUE!</v>
      </c>
      <c r="Q517" s="33"/>
      <c r="R517" s="33"/>
      <c r="S517" s="33"/>
      <c r="T517" s="40">
        <f>IF(tblDonnées[[#This Row],[0,5% du dép]]&lt;5000,5000,IF(tblDonnées[[#This Row],[0,5% du dép]]&gt;50000,50000,tblDonnées[[#This Row],[0,5% du dép]]))</f>
        <v>5000</v>
      </c>
      <c r="U517" s="56">
        <f>ABS(tblDonnées[[#This Row],[MONTANT DEPASSEMENT]]*0.005)</f>
        <v>0</v>
      </c>
      <c r="V517" s="33"/>
      <c r="W517" s="33"/>
      <c r="X517" s="33"/>
      <c r="Y517" s="33"/>
      <c r="Z517" s="33"/>
    </row>
    <row r="518" spans="1:26" x14ac:dyDescent="0.25">
      <c r="A518" s="33"/>
      <c r="B518" s="33"/>
      <c r="C518" s="33"/>
      <c r="E518" s="53"/>
      <c r="G518" s="34"/>
      <c r="H518" s="33"/>
      <c r="I518" s="33"/>
      <c r="J518" s="42"/>
      <c r="K518" s="43"/>
      <c r="L518" s="44"/>
      <c r="M518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18" s="54">
        <f>tblDonnées[[#This Row],[MONTANT OPERATION]]+tblDonnées[[#This Row],[POS  FUSIONNEE CPTE AVANT OP]]</f>
        <v>0</v>
      </c>
      <c r="O518" s="38" t="str">
        <f>IF(ISBLANK(tblDonnées[[#This Row],[MONTANT AUTO]]), "N/A", ABS(tblDonnées[[#This Row],[POS  FUSIONNEE CPTE APRES OP]])-ABS(tblDonnées[[#This Row],[MONTANT AUTO]]))</f>
        <v>N/A</v>
      </c>
      <c r="P518" s="55" t="e">
        <f>tblDonnées[[#This Row],[DEPASSEMENT TOTAL SUR AUTO
]]/-tblDonnées[[#This Row],[MONTANT AUTO]]</f>
        <v>#VALUE!</v>
      </c>
      <c r="Q518" s="33"/>
      <c r="R518" s="33"/>
      <c r="S518" s="33"/>
      <c r="T518" s="40">
        <f>IF(tblDonnées[[#This Row],[0,5% du dép]]&lt;5000,5000,IF(tblDonnées[[#This Row],[0,5% du dép]]&gt;50000,50000,tblDonnées[[#This Row],[0,5% du dép]]))</f>
        <v>5000</v>
      </c>
      <c r="U518" s="56">
        <f>ABS(tblDonnées[[#This Row],[MONTANT DEPASSEMENT]]*0.005)</f>
        <v>0</v>
      </c>
      <c r="V518" s="33"/>
      <c r="W518" s="33"/>
      <c r="X518" s="33"/>
      <c r="Y518" s="33"/>
      <c r="Z518" s="33"/>
    </row>
    <row r="519" spans="1:26" x14ac:dyDescent="0.25">
      <c r="A519" s="33"/>
      <c r="B519" s="33"/>
      <c r="C519" s="33"/>
      <c r="E519" s="53"/>
      <c r="G519" s="34"/>
      <c r="H519" s="33"/>
      <c r="I519" s="33"/>
      <c r="J519" s="42"/>
      <c r="K519" s="43"/>
      <c r="L519" s="44"/>
      <c r="M519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19" s="54">
        <f>tblDonnées[[#This Row],[MONTANT OPERATION]]+tblDonnées[[#This Row],[POS  FUSIONNEE CPTE AVANT OP]]</f>
        <v>0</v>
      </c>
      <c r="O519" s="38" t="str">
        <f>IF(ISBLANK(tblDonnées[[#This Row],[MONTANT AUTO]]), "N/A", ABS(tblDonnées[[#This Row],[POS  FUSIONNEE CPTE APRES OP]])-ABS(tblDonnées[[#This Row],[MONTANT AUTO]]))</f>
        <v>N/A</v>
      </c>
      <c r="P519" s="55" t="e">
        <f>tblDonnées[[#This Row],[DEPASSEMENT TOTAL SUR AUTO
]]/-tblDonnées[[#This Row],[MONTANT AUTO]]</f>
        <v>#VALUE!</v>
      </c>
      <c r="Q519" s="33"/>
      <c r="R519" s="33"/>
      <c r="S519" s="33"/>
      <c r="T519" s="40">
        <f>IF(tblDonnées[[#This Row],[0,5% du dép]]&lt;5000,5000,IF(tblDonnées[[#This Row],[0,5% du dép]]&gt;50000,50000,tblDonnées[[#This Row],[0,5% du dép]]))</f>
        <v>5000</v>
      </c>
      <c r="U519" s="56">
        <f>ABS(tblDonnées[[#This Row],[MONTANT DEPASSEMENT]]*0.005)</f>
        <v>0</v>
      </c>
      <c r="V519" s="33"/>
      <c r="W519" s="33"/>
      <c r="X519" s="33"/>
      <c r="Y519" s="33"/>
      <c r="Z519" s="33"/>
    </row>
    <row r="520" spans="1:26" x14ac:dyDescent="0.25">
      <c r="A520" s="33"/>
      <c r="B520" s="33"/>
      <c r="C520" s="33"/>
      <c r="E520" s="53"/>
      <c r="G520" s="34"/>
      <c r="H520" s="33"/>
      <c r="I520" s="33"/>
      <c r="J520" s="42"/>
      <c r="K520" s="43"/>
      <c r="L520" s="44"/>
      <c r="M520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20" s="54">
        <f>tblDonnées[[#This Row],[MONTANT OPERATION]]+tblDonnées[[#This Row],[POS  FUSIONNEE CPTE AVANT OP]]</f>
        <v>0</v>
      </c>
      <c r="O520" s="38" t="str">
        <f>IF(ISBLANK(tblDonnées[[#This Row],[MONTANT AUTO]]), "N/A", ABS(tblDonnées[[#This Row],[POS  FUSIONNEE CPTE APRES OP]])-ABS(tblDonnées[[#This Row],[MONTANT AUTO]]))</f>
        <v>N/A</v>
      </c>
      <c r="P520" s="55" t="e">
        <f>tblDonnées[[#This Row],[DEPASSEMENT TOTAL SUR AUTO
]]/-tblDonnées[[#This Row],[MONTANT AUTO]]</f>
        <v>#VALUE!</v>
      </c>
      <c r="Q520" s="33"/>
      <c r="R520" s="33"/>
      <c r="S520" s="33"/>
      <c r="T520" s="40">
        <f>IF(tblDonnées[[#This Row],[0,5% du dép]]&lt;5000,5000,IF(tblDonnées[[#This Row],[0,5% du dép]]&gt;50000,50000,tblDonnées[[#This Row],[0,5% du dép]]))</f>
        <v>5000</v>
      </c>
      <c r="U520" s="56">
        <f>ABS(tblDonnées[[#This Row],[MONTANT DEPASSEMENT]]*0.005)</f>
        <v>0</v>
      </c>
      <c r="V520" s="33"/>
      <c r="W520" s="33"/>
      <c r="X520" s="33"/>
      <c r="Y520" s="33"/>
      <c r="Z520" s="33"/>
    </row>
    <row r="521" spans="1:26" x14ac:dyDescent="0.25">
      <c r="A521" s="33"/>
      <c r="B521" s="33"/>
      <c r="C521" s="33"/>
      <c r="E521" s="53"/>
      <c r="G521" s="34"/>
      <c r="H521" s="33"/>
      <c r="I521" s="33"/>
      <c r="J521" s="42"/>
      <c r="K521" s="43"/>
      <c r="L521" s="44"/>
      <c r="M521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21" s="54">
        <f>tblDonnées[[#This Row],[MONTANT OPERATION]]+tblDonnées[[#This Row],[POS  FUSIONNEE CPTE AVANT OP]]</f>
        <v>0</v>
      </c>
      <c r="O521" s="38" t="str">
        <f>IF(ISBLANK(tblDonnées[[#This Row],[MONTANT AUTO]]), "N/A", ABS(tblDonnées[[#This Row],[POS  FUSIONNEE CPTE APRES OP]])-ABS(tblDonnées[[#This Row],[MONTANT AUTO]]))</f>
        <v>N/A</v>
      </c>
      <c r="P521" s="55" t="e">
        <f>tblDonnées[[#This Row],[DEPASSEMENT TOTAL SUR AUTO
]]/-tblDonnées[[#This Row],[MONTANT AUTO]]</f>
        <v>#VALUE!</v>
      </c>
      <c r="Q521" s="33"/>
      <c r="R521" s="33"/>
      <c r="S521" s="33"/>
      <c r="T521" s="40">
        <f>IF(tblDonnées[[#This Row],[0,5% du dép]]&lt;5000,5000,IF(tblDonnées[[#This Row],[0,5% du dép]]&gt;50000,50000,tblDonnées[[#This Row],[0,5% du dép]]))</f>
        <v>5000</v>
      </c>
      <c r="U521" s="56">
        <f>ABS(tblDonnées[[#This Row],[MONTANT DEPASSEMENT]]*0.005)</f>
        <v>0</v>
      </c>
      <c r="V521" s="33"/>
      <c r="W521" s="33"/>
      <c r="X521" s="33"/>
      <c r="Y521" s="33"/>
      <c r="Z521" s="33"/>
    </row>
    <row r="522" spans="1:26" x14ac:dyDescent="0.25">
      <c r="A522" s="33"/>
      <c r="B522" s="33"/>
      <c r="C522" s="33"/>
      <c r="E522" s="53"/>
      <c r="G522" s="34"/>
      <c r="H522" s="33"/>
      <c r="I522" s="33"/>
      <c r="J522" s="42"/>
      <c r="K522" s="43"/>
      <c r="L522" s="44"/>
      <c r="M522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22" s="54">
        <f>tblDonnées[[#This Row],[MONTANT OPERATION]]+tblDonnées[[#This Row],[POS  FUSIONNEE CPTE AVANT OP]]</f>
        <v>0</v>
      </c>
      <c r="O522" s="38" t="str">
        <f>IF(ISBLANK(tblDonnées[[#This Row],[MONTANT AUTO]]), "N/A", ABS(tblDonnées[[#This Row],[POS  FUSIONNEE CPTE APRES OP]])-ABS(tblDonnées[[#This Row],[MONTANT AUTO]]))</f>
        <v>N/A</v>
      </c>
      <c r="P522" s="55" t="e">
        <f>tblDonnées[[#This Row],[DEPASSEMENT TOTAL SUR AUTO
]]/-tblDonnées[[#This Row],[MONTANT AUTO]]</f>
        <v>#VALUE!</v>
      </c>
      <c r="Q522" s="33"/>
      <c r="R522" s="33"/>
      <c r="S522" s="33"/>
      <c r="T522" s="40">
        <f>IF(tblDonnées[[#This Row],[0,5% du dép]]&lt;5000,5000,IF(tblDonnées[[#This Row],[0,5% du dép]]&gt;50000,50000,tblDonnées[[#This Row],[0,5% du dép]]))</f>
        <v>5000</v>
      </c>
      <c r="U522" s="56">
        <f>ABS(tblDonnées[[#This Row],[MONTANT DEPASSEMENT]]*0.005)</f>
        <v>0</v>
      </c>
      <c r="V522" s="33"/>
      <c r="W522" s="33"/>
      <c r="X522" s="33"/>
      <c r="Y522" s="33"/>
      <c r="Z522" s="33"/>
    </row>
    <row r="523" spans="1:26" x14ac:dyDescent="0.25">
      <c r="A523" s="33"/>
      <c r="B523" s="33"/>
      <c r="C523" s="33"/>
      <c r="E523" s="53"/>
      <c r="G523" s="34"/>
      <c r="H523" s="33"/>
      <c r="I523" s="33"/>
      <c r="J523" s="42"/>
      <c r="K523" s="43"/>
      <c r="L523" s="44"/>
      <c r="M523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23" s="54">
        <f>tblDonnées[[#This Row],[MONTANT OPERATION]]+tblDonnées[[#This Row],[POS  FUSIONNEE CPTE AVANT OP]]</f>
        <v>0</v>
      </c>
      <c r="O523" s="38" t="str">
        <f>IF(ISBLANK(tblDonnées[[#This Row],[MONTANT AUTO]]), "N/A", ABS(tblDonnées[[#This Row],[POS  FUSIONNEE CPTE APRES OP]])-ABS(tblDonnées[[#This Row],[MONTANT AUTO]]))</f>
        <v>N/A</v>
      </c>
      <c r="P523" s="55" t="e">
        <f>tblDonnées[[#This Row],[DEPASSEMENT TOTAL SUR AUTO
]]/-tblDonnées[[#This Row],[MONTANT AUTO]]</f>
        <v>#VALUE!</v>
      </c>
      <c r="Q523" s="33"/>
      <c r="R523" s="33"/>
      <c r="S523" s="33"/>
      <c r="T523" s="40">
        <f>IF(tblDonnées[[#This Row],[0,5% du dép]]&lt;5000,5000,IF(tblDonnées[[#This Row],[0,5% du dép]]&gt;50000,50000,tblDonnées[[#This Row],[0,5% du dép]]))</f>
        <v>5000</v>
      </c>
      <c r="U523" s="56">
        <f>ABS(tblDonnées[[#This Row],[MONTANT DEPASSEMENT]]*0.005)</f>
        <v>0</v>
      </c>
      <c r="V523" s="33"/>
      <c r="W523" s="33"/>
      <c r="X523" s="33"/>
      <c r="Y523" s="33"/>
      <c r="Z523" s="33"/>
    </row>
    <row r="524" spans="1:26" x14ac:dyDescent="0.25">
      <c r="A524" s="33"/>
      <c r="B524" s="33"/>
      <c r="C524" s="33"/>
      <c r="E524" s="53"/>
      <c r="G524" s="34"/>
      <c r="H524" s="33"/>
      <c r="I524" s="33"/>
      <c r="J524" s="42"/>
      <c r="K524" s="43"/>
      <c r="L524" s="44"/>
      <c r="M524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24" s="54">
        <f>tblDonnées[[#This Row],[MONTANT OPERATION]]+tblDonnées[[#This Row],[POS  FUSIONNEE CPTE AVANT OP]]</f>
        <v>0</v>
      </c>
      <c r="O524" s="38" t="str">
        <f>IF(ISBLANK(tblDonnées[[#This Row],[MONTANT AUTO]]), "N/A", ABS(tblDonnées[[#This Row],[POS  FUSIONNEE CPTE APRES OP]])-ABS(tblDonnées[[#This Row],[MONTANT AUTO]]))</f>
        <v>N/A</v>
      </c>
      <c r="P524" s="55" t="e">
        <f>tblDonnées[[#This Row],[DEPASSEMENT TOTAL SUR AUTO
]]/-tblDonnées[[#This Row],[MONTANT AUTO]]</f>
        <v>#VALUE!</v>
      </c>
      <c r="Q524" s="33"/>
      <c r="R524" s="33"/>
      <c r="S524" s="33"/>
      <c r="T524" s="40">
        <f>IF(tblDonnées[[#This Row],[0,5% du dép]]&lt;5000,5000,IF(tblDonnées[[#This Row],[0,5% du dép]]&gt;50000,50000,tblDonnées[[#This Row],[0,5% du dép]]))</f>
        <v>5000</v>
      </c>
      <c r="U524" s="56">
        <f>ABS(tblDonnées[[#This Row],[MONTANT DEPASSEMENT]]*0.005)</f>
        <v>0</v>
      </c>
      <c r="V524" s="33"/>
      <c r="W524" s="33"/>
      <c r="X524" s="33"/>
      <c r="Y524" s="33"/>
      <c r="Z524" s="33"/>
    </row>
    <row r="525" spans="1:26" x14ac:dyDescent="0.25">
      <c r="A525" s="33"/>
      <c r="B525" s="33"/>
      <c r="C525" s="33"/>
      <c r="E525" s="53"/>
      <c r="G525" s="34"/>
      <c r="H525" s="33"/>
      <c r="I525" s="33"/>
      <c r="J525" s="42"/>
      <c r="K525" s="43"/>
      <c r="L525" s="44"/>
      <c r="M525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25" s="54">
        <f>tblDonnées[[#This Row],[MONTANT OPERATION]]+tblDonnées[[#This Row],[POS  FUSIONNEE CPTE AVANT OP]]</f>
        <v>0</v>
      </c>
      <c r="O525" s="38" t="str">
        <f>IF(ISBLANK(tblDonnées[[#This Row],[MONTANT AUTO]]), "N/A", ABS(tblDonnées[[#This Row],[POS  FUSIONNEE CPTE APRES OP]])-ABS(tblDonnées[[#This Row],[MONTANT AUTO]]))</f>
        <v>N/A</v>
      </c>
      <c r="P525" s="55" t="e">
        <f>tblDonnées[[#This Row],[DEPASSEMENT TOTAL SUR AUTO
]]/-tblDonnées[[#This Row],[MONTANT AUTO]]</f>
        <v>#VALUE!</v>
      </c>
      <c r="Q525" s="33"/>
      <c r="R525" s="33"/>
      <c r="S525" s="33"/>
      <c r="T525" s="40">
        <f>IF(tblDonnées[[#This Row],[0,5% du dép]]&lt;5000,5000,IF(tblDonnées[[#This Row],[0,5% du dép]]&gt;50000,50000,tblDonnées[[#This Row],[0,5% du dép]]))</f>
        <v>5000</v>
      </c>
      <c r="U525" s="56">
        <f>ABS(tblDonnées[[#This Row],[MONTANT DEPASSEMENT]]*0.005)</f>
        <v>0</v>
      </c>
      <c r="V525" s="33"/>
      <c r="W525" s="33"/>
      <c r="X525" s="33"/>
      <c r="Y525" s="33"/>
      <c r="Z525" s="33"/>
    </row>
    <row r="526" spans="1:26" x14ac:dyDescent="0.25">
      <c r="A526" s="33"/>
      <c r="B526" s="33"/>
      <c r="C526" s="33"/>
      <c r="E526" s="53"/>
      <c r="G526" s="34"/>
      <c r="H526" s="33"/>
      <c r="I526" s="33"/>
      <c r="J526" s="42"/>
      <c r="K526" s="43"/>
      <c r="L526" s="44"/>
      <c r="M526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26" s="54">
        <f>tblDonnées[[#This Row],[MONTANT OPERATION]]+tblDonnées[[#This Row],[POS  FUSIONNEE CPTE AVANT OP]]</f>
        <v>0</v>
      </c>
      <c r="O526" s="38" t="str">
        <f>IF(ISBLANK(tblDonnées[[#This Row],[MONTANT AUTO]]), "N/A", ABS(tblDonnées[[#This Row],[POS  FUSIONNEE CPTE APRES OP]])-ABS(tblDonnées[[#This Row],[MONTANT AUTO]]))</f>
        <v>N/A</v>
      </c>
      <c r="P526" s="55" t="e">
        <f>tblDonnées[[#This Row],[DEPASSEMENT TOTAL SUR AUTO
]]/-tblDonnées[[#This Row],[MONTANT AUTO]]</f>
        <v>#VALUE!</v>
      </c>
      <c r="Q526" s="33"/>
      <c r="R526" s="33"/>
      <c r="S526" s="33"/>
      <c r="T526" s="40">
        <f>IF(tblDonnées[[#This Row],[0,5% du dép]]&lt;5000,5000,IF(tblDonnées[[#This Row],[0,5% du dép]]&gt;50000,50000,tblDonnées[[#This Row],[0,5% du dép]]))</f>
        <v>5000</v>
      </c>
      <c r="U526" s="56">
        <f>ABS(tblDonnées[[#This Row],[MONTANT DEPASSEMENT]]*0.005)</f>
        <v>0</v>
      </c>
      <c r="V526" s="33"/>
      <c r="W526" s="33"/>
      <c r="X526" s="33"/>
      <c r="Y526" s="33"/>
      <c r="Z526" s="33"/>
    </row>
    <row r="527" spans="1:26" x14ac:dyDescent="0.25">
      <c r="A527" s="33"/>
      <c r="B527" s="33"/>
      <c r="C527" s="33"/>
      <c r="E527" s="53"/>
      <c r="G527" s="34"/>
      <c r="H527" s="33"/>
      <c r="I527" s="33"/>
      <c r="J527" s="42"/>
      <c r="K527" s="43"/>
      <c r="L527" s="44"/>
      <c r="M527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27" s="54">
        <f>tblDonnées[[#This Row],[MONTANT OPERATION]]+tblDonnées[[#This Row],[POS  FUSIONNEE CPTE AVANT OP]]</f>
        <v>0</v>
      </c>
      <c r="O527" s="38" t="str">
        <f>IF(ISBLANK(tblDonnées[[#This Row],[MONTANT AUTO]]), "N/A", ABS(tblDonnées[[#This Row],[POS  FUSIONNEE CPTE APRES OP]])-ABS(tblDonnées[[#This Row],[MONTANT AUTO]]))</f>
        <v>N/A</v>
      </c>
      <c r="P527" s="55" t="e">
        <f>tblDonnées[[#This Row],[DEPASSEMENT TOTAL SUR AUTO
]]/-tblDonnées[[#This Row],[MONTANT AUTO]]</f>
        <v>#VALUE!</v>
      </c>
      <c r="Q527" s="33"/>
      <c r="R527" s="33"/>
      <c r="S527" s="33"/>
      <c r="T527" s="40">
        <f>IF(tblDonnées[[#This Row],[0,5% du dép]]&lt;5000,5000,IF(tblDonnées[[#This Row],[0,5% du dép]]&gt;50000,50000,tblDonnées[[#This Row],[0,5% du dép]]))</f>
        <v>5000</v>
      </c>
      <c r="U527" s="56">
        <f>ABS(tblDonnées[[#This Row],[MONTANT DEPASSEMENT]]*0.005)</f>
        <v>0</v>
      </c>
      <c r="V527" s="33"/>
      <c r="W527" s="33"/>
      <c r="X527" s="33"/>
      <c r="Y527" s="33"/>
      <c r="Z527" s="33"/>
    </row>
    <row r="528" spans="1:26" x14ac:dyDescent="0.25">
      <c r="A528" s="33"/>
      <c r="B528" s="33"/>
      <c r="C528" s="33"/>
      <c r="E528" s="53"/>
      <c r="G528" s="34"/>
      <c r="H528" s="33"/>
      <c r="I528" s="33"/>
      <c r="J528" s="42"/>
      <c r="K528" s="43"/>
      <c r="L528" s="44"/>
      <c r="M528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28" s="54">
        <f>tblDonnées[[#This Row],[MONTANT OPERATION]]+tblDonnées[[#This Row],[POS  FUSIONNEE CPTE AVANT OP]]</f>
        <v>0</v>
      </c>
      <c r="O528" s="38" t="str">
        <f>IF(ISBLANK(tblDonnées[[#This Row],[MONTANT AUTO]]), "N/A", ABS(tblDonnées[[#This Row],[POS  FUSIONNEE CPTE APRES OP]])-ABS(tblDonnées[[#This Row],[MONTANT AUTO]]))</f>
        <v>N/A</v>
      </c>
      <c r="P528" s="55" t="e">
        <f>tblDonnées[[#This Row],[DEPASSEMENT TOTAL SUR AUTO
]]/-tblDonnées[[#This Row],[MONTANT AUTO]]</f>
        <v>#VALUE!</v>
      </c>
      <c r="Q528" s="33"/>
      <c r="R528" s="33"/>
      <c r="S528" s="33"/>
      <c r="T528" s="40">
        <f>IF(tblDonnées[[#This Row],[0,5% du dép]]&lt;5000,5000,IF(tblDonnées[[#This Row],[0,5% du dép]]&gt;50000,50000,tblDonnées[[#This Row],[0,5% du dép]]))</f>
        <v>5000</v>
      </c>
      <c r="U528" s="56">
        <f>ABS(tblDonnées[[#This Row],[MONTANT DEPASSEMENT]]*0.005)</f>
        <v>0</v>
      </c>
      <c r="V528" s="33"/>
      <c r="W528" s="33"/>
      <c r="X528" s="33"/>
      <c r="Y528" s="33"/>
      <c r="Z528" s="33"/>
    </row>
    <row r="529" spans="1:26" x14ac:dyDescent="0.25">
      <c r="A529" s="33"/>
      <c r="B529" s="33"/>
      <c r="C529" s="33"/>
      <c r="E529" s="53"/>
      <c r="G529" s="34"/>
      <c r="H529" s="33"/>
      <c r="I529" s="33"/>
      <c r="J529" s="42"/>
      <c r="K529" s="43"/>
      <c r="L529" s="44"/>
      <c r="M529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29" s="54">
        <f>tblDonnées[[#This Row],[MONTANT OPERATION]]+tblDonnées[[#This Row],[POS  FUSIONNEE CPTE AVANT OP]]</f>
        <v>0</v>
      </c>
      <c r="O529" s="38" t="str">
        <f>IF(ISBLANK(tblDonnées[[#This Row],[MONTANT AUTO]]), "N/A", ABS(tblDonnées[[#This Row],[POS  FUSIONNEE CPTE APRES OP]])-ABS(tblDonnées[[#This Row],[MONTANT AUTO]]))</f>
        <v>N/A</v>
      </c>
      <c r="P529" s="55" t="e">
        <f>tblDonnées[[#This Row],[DEPASSEMENT TOTAL SUR AUTO
]]/-tblDonnées[[#This Row],[MONTANT AUTO]]</f>
        <v>#VALUE!</v>
      </c>
      <c r="Q529" s="33"/>
      <c r="R529" s="33"/>
      <c r="S529" s="33"/>
      <c r="T529" s="40">
        <f>IF(tblDonnées[[#This Row],[0,5% du dép]]&lt;5000,5000,IF(tblDonnées[[#This Row],[0,5% du dép]]&gt;50000,50000,tblDonnées[[#This Row],[0,5% du dép]]))</f>
        <v>5000</v>
      </c>
      <c r="U529" s="56">
        <f>ABS(tblDonnées[[#This Row],[MONTANT DEPASSEMENT]]*0.005)</f>
        <v>0</v>
      </c>
      <c r="V529" s="33"/>
      <c r="W529" s="33"/>
      <c r="X529" s="33"/>
      <c r="Y529" s="33"/>
      <c r="Z529" s="33"/>
    </row>
    <row r="530" spans="1:26" x14ac:dyDescent="0.25">
      <c r="A530" s="33"/>
      <c r="B530" s="33"/>
      <c r="C530" s="33"/>
      <c r="E530" s="53"/>
      <c r="G530" s="34"/>
      <c r="H530" s="33"/>
      <c r="I530" s="33"/>
      <c r="J530" s="42"/>
      <c r="K530" s="43"/>
      <c r="L530" s="44"/>
      <c r="M530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30" s="54">
        <f>tblDonnées[[#This Row],[MONTANT OPERATION]]+tblDonnées[[#This Row],[POS  FUSIONNEE CPTE AVANT OP]]</f>
        <v>0</v>
      </c>
      <c r="O530" s="38" t="str">
        <f>IF(ISBLANK(tblDonnées[[#This Row],[MONTANT AUTO]]), "N/A", ABS(tblDonnées[[#This Row],[POS  FUSIONNEE CPTE APRES OP]])-ABS(tblDonnées[[#This Row],[MONTANT AUTO]]))</f>
        <v>N/A</v>
      </c>
      <c r="P530" s="55" t="e">
        <f>tblDonnées[[#This Row],[DEPASSEMENT TOTAL SUR AUTO
]]/-tblDonnées[[#This Row],[MONTANT AUTO]]</f>
        <v>#VALUE!</v>
      </c>
      <c r="Q530" s="33"/>
      <c r="R530" s="33"/>
      <c r="S530" s="33"/>
      <c r="T530" s="40">
        <f>IF(tblDonnées[[#This Row],[0,5% du dép]]&lt;5000,5000,IF(tblDonnées[[#This Row],[0,5% du dép]]&gt;50000,50000,tblDonnées[[#This Row],[0,5% du dép]]))</f>
        <v>5000</v>
      </c>
      <c r="U530" s="56">
        <f>ABS(tblDonnées[[#This Row],[MONTANT DEPASSEMENT]]*0.005)</f>
        <v>0</v>
      </c>
      <c r="V530" s="33"/>
      <c r="W530" s="33"/>
      <c r="X530" s="33"/>
      <c r="Y530" s="33"/>
      <c r="Z530" s="33"/>
    </row>
    <row r="531" spans="1:26" x14ac:dyDescent="0.25">
      <c r="A531" s="33"/>
      <c r="B531" s="33"/>
      <c r="C531" s="33"/>
      <c r="E531" s="53"/>
      <c r="G531" s="34"/>
      <c r="H531" s="33"/>
      <c r="I531" s="33"/>
      <c r="J531" s="42"/>
      <c r="K531" s="43"/>
      <c r="L531" s="44"/>
      <c r="M531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31" s="54">
        <f>tblDonnées[[#This Row],[MONTANT OPERATION]]+tblDonnées[[#This Row],[POS  FUSIONNEE CPTE AVANT OP]]</f>
        <v>0</v>
      </c>
      <c r="O531" s="38" t="str">
        <f>IF(ISBLANK(tblDonnées[[#This Row],[MONTANT AUTO]]), "N/A", ABS(tblDonnées[[#This Row],[POS  FUSIONNEE CPTE APRES OP]])-ABS(tblDonnées[[#This Row],[MONTANT AUTO]]))</f>
        <v>N/A</v>
      </c>
      <c r="P531" s="55" t="e">
        <f>tblDonnées[[#This Row],[DEPASSEMENT TOTAL SUR AUTO
]]/-tblDonnées[[#This Row],[MONTANT AUTO]]</f>
        <v>#VALUE!</v>
      </c>
      <c r="Q531" s="33"/>
      <c r="R531" s="33"/>
      <c r="S531" s="33"/>
      <c r="T531" s="40">
        <f>IF(tblDonnées[[#This Row],[0,5% du dép]]&lt;5000,5000,IF(tblDonnées[[#This Row],[0,5% du dép]]&gt;50000,50000,tblDonnées[[#This Row],[0,5% du dép]]))</f>
        <v>5000</v>
      </c>
      <c r="U531" s="56">
        <f>ABS(tblDonnées[[#This Row],[MONTANT DEPASSEMENT]]*0.005)</f>
        <v>0</v>
      </c>
      <c r="V531" s="33"/>
      <c r="W531" s="33"/>
      <c r="X531" s="33"/>
      <c r="Y531" s="33"/>
      <c r="Z531" s="33"/>
    </row>
    <row r="532" spans="1:26" x14ac:dyDescent="0.25">
      <c r="A532" s="33"/>
      <c r="B532" s="33"/>
      <c r="C532" s="33"/>
      <c r="E532" s="53"/>
      <c r="G532" s="34"/>
      <c r="H532" s="33"/>
      <c r="I532" s="33"/>
      <c r="J532" s="42"/>
      <c r="K532" s="43"/>
      <c r="L532" s="44"/>
      <c r="M532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32" s="54">
        <f>tblDonnées[[#This Row],[MONTANT OPERATION]]+tblDonnées[[#This Row],[POS  FUSIONNEE CPTE AVANT OP]]</f>
        <v>0</v>
      </c>
      <c r="O532" s="38" t="str">
        <f>IF(ISBLANK(tblDonnées[[#This Row],[MONTANT AUTO]]), "N/A", ABS(tblDonnées[[#This Row],[POS  FUSIONNEE CPTE APRES OP]])-ABS(tblDonnées[[#This Row],[MONTANT AUTO]]))</f>
        <v>N/A</v>
      </c>
      <c r="P532" s="55" t="e">
        <f>tblDonnées[[#This Row],[DEPASSEMENT TOTAL SUR AUTO
]]/-tblDonnées[[#This Row],[MONTANT AUTO]]</f>
        <v>#VALUE!</v>
      </c>
      <c r="Q532" s="33"/>
      <c r="R532" s="33"/>
      <c r="S532" s="33"/>
      <c r="T532" s="40">
        <f>IF(tblDonnées[[#This Row],[0,5% du dép]]&lt;5000,5000,IF(tblDonnées[[#This Row],[0,5% du dép]]&gt;50000,50000,tblDonnées[[#This Row],[0,5% du dép]]))</f>
        <v>5000</v>
      </c>
      <c r="U532" s="56">
        <f>ABS(tblDonnées[[#This Row],[MONTANT DEPASSEMENT]]*0.005)</f>
        <v>0</v>
      </c>
      <c r="V532" s="33"/>
      <c r="W532" s="33"/>
      <c r="X532" s="33"/>
      <c r="Y532" s="33"/>
      <c r="Z532" s="33"/>
    </row>
    <row r="533" spans="1:26" x14ac:dyDescent="0.25">
      <c r="A533" s="33"/>
      <c r="B533" s="33"/>
      <c r="C533" s="33"/>
      <c r="E533" s="53"/>
      <c r="G533" s="34"/>
      <c r="H533" s="33"/>
      <c r="I533" s="33"/>
      <c r="J533" s="42"/>
      <c r="K533" s="43"/>
      <c r="L533" s="44"/>
      <c r="M533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33" s="54">
        <f>tblDonnées[[#This Row],[MONTANT OPERATION]]+tblDonnées[[#This Row],[POS  FUSIONNEE CPTE AVANT OP]]</f>
        <v>0</v>
      </c>
      <c r="O533" s="38" t="str">
        <f>IF(ISBLANK(tblDonnées[[#This Row],[MONTANT AUTO]]), "N/A", ABS(tblDonnées[[#This Row],[POS  FUSIONNEE CPTE APRES OP]])-ABS(tblDonnées[[#This Row],[MONTANT AUTO]]))</f>
        <v>N/A</v>
      </c>
      <c r="P533" s="55" t="e">
        <f>tblDonnées[[#This Row],[DEPASSEMENT TOTAL SUR AUTO
]]/-tblDonnées[[#This Row],[MONTANT AUTO]]</f>
        <v>#VALUE!</v>
      </c>
      <c r="Q533" s="33"/>
      <c r="R533" s="33"/>
      <c r="S533" s="33"/>
      <c r="T533" s="40">
        <f>IF(tblDonnées[[#This Row],[0,5% du dép]]&lt;5000,5000,IF(tblDonnées[[#This Row],[0,5% du dép]]&gt;50000,50000,tblDonnées[[#This Row],[0,5% du dép]]))</f>
        <v>5000</v>
      </c>
      <c r="U533" s="56">
        <f>ABS(tblDonnées[[#This Row],[MONTANT DEPASSEMENT]]*0.005)</f>
        <v>0</v>
      </c>
      <c r="V533" s="33"/>
      <c r="W533" s="33"/>
      <c r="X533" s="33"/>
      <c r="Y533" s="33"/>
      <c r="Z533" s="33"/>
    </row>
    <row r="534" spans="1:26" x14ac:dyDescent="0.25">
      <c r="A534" s="33"/>
      <c r="B534" s="33"/>
      <c r="C534" s="33"/>
      <c r="E534" s="53"/>
      <c r="G534" s="34"/>
      <c r="H534" s="33"/>
      <c r="I534" s="33"/>
      <c r="J534" s="42"/>
      <c r="K534" s="43"/>
      <c r="L534" s="44"/>
      <c r="M534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34" s="54">
        <f>tblDonnées[[#This Row],[MONTANT OPERATION]]+tblDonnées[[#This Row],[POS  FUSIONNEE CPTE AVANT OP]]</f>
        <v>0</v>
      </c>
      <c r="O534" s="38" t="str">
        <f>IF(ISBLANK(tblDonnées[[#This Row],[MONTANT AUTO]]), "N/A", ABS(tblDonnées[[#This Row],[POS  FUSIONNEE CPTE APRES OP]])-ABS(tblDonnées[[#This Row],[MONTANT AUTO]]))</f>
        <v>N/A</v>
      </c>
      <c r="P534" s="55" t="e">
        <f>tblDonnées[[#This Row],[DEPASSEMENT TOTAL SUR AUTO
]]/-tblDonnées[[#This Row],[MONTANT AUTO]]</f>
        <v>#VALUE!</v>
      </c>
      <c r="Q534" s="33"/>
      <c r="R534" s="33"/>
      <c r="S534" s="33"/>
      <c r="T534" s="40">
        <f>IF(tblDonnées[[#This Row],[0,5% du dép]]&lt;5000,5000,IF(tblDonnées[[#This Row],[0,5% du dép]]&gt;50000,50000,tblDonnées[[#This Row],[0,5% du dép]]))</f>
        <v>5000</v>
      </c>
      <c r="U534" s="56">
        <f>ABS(tblDonnées[[#This Row],[MONTANT DEPASSEMENT]]*0.005)</f>
        <v>0</v>
      </c>
      <c r="V534" s="33"/>
      <c r="W534" s="33"/>
      <c r="X534" s="33"/>
      <c r="Y534" s="33"/>
      <c r="Z534" s="33"/>
    </row>
    <row r="535" spans="1:26" x14ac:dyDescent="0.25">
      <c r="A535" s="33"/>
      <c r="B535" s="33"/>
      <c r="C535" s="33"/>
      <c r="E535" s="53"/>
      <c r="G535" s="34"/>
      <c r="H535" s="33"/>
      <c r="I535" s="33"/>
      <c r="J535" s="42"/>
      <c r="K535" s="43"/>
      <c r="L535" s="44"/>
      <c r="M535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35" s="54">
        <f>tblDonnées[[#This Row],[MONTANT OPERATION]]+tblDonnées[[#This Row],[POS  FUSIONNEE CPTE AVANT OP]]</f>
        <v>0</v>
      </c>
      <c r="O535" s="38" t="str">
        <f>IF(ISBLANK(tblDonnées[[#This Row],[MONTANT AUTO]]), "N/A", ABS(tblDonnées[[#This Row],[POS  FUSIONNEE CPTE APRES OP]])-ABS(tblDonnées[[#This Row],[MONTANT AUTO]]))</f>
        <v>N/A</v>
      </c>
      <c r="P535" s="55" t="e">
        <f>tblDonnées[[#This Row],[DEPASSEMENT TOTAL SUR AUTO
]]/-tblDonnées[[#This Row],[MONTANT AUTO]]</f>
        <v>#VALUE!</v>
      </c>
      <c r="Q535" s="33"/>
      <c r="R535" s="33"/>
      <c r="S535" s="33"/>
      <c r="T535" s="40">
        <f>IF(tblDonnées[[#This Row],[0,5% du dép]]&lt;5000,5000,IF(tblDonnées[[#This Row],[0,5% du dép]]&gt;50000,50000,tblDonnées[[#This Row],[0,5% du dép]]))</f>
        <v>5000</v>
      </c>
      <c r="U535" s="56">
        <f>ABS(tblDonnées[[#This Row],[MONTANT DEPASSEMENT]]*0.005)</f>
        <v>0</v>
      </c>
      <c r="V535" s="33"/>
      <c r="W535" s="33"/>
      <c r="X535" s="33"/>
      <c r="Y535" s="33"/>
      <c r="Z535" s="33"/>
    </row>
    <row r="536" spans="1:26" x14ac:dyDescent="0.25">
      <c r="A536" s="33"/>
      <c r="B536" s="33"/>
      <c r="C536" s="33"/>
      <c r="E536" s="53"/>
      <c r="G536" s="34"/>
      <c r="H536" s="33"/>
      <c r="I536" s="33"/>
      <c r="J536" s="42"/>
      <c r="K536" s="43"/>
      <c r="L536" s="44"/>
      <c r="M536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36" s="54">
        <f>tblDonnées[[#This Row],[MONTANT OPERATION]]+tblDonnées[[#This Row],[POS  FUSIONNEE CPTE AVANT OP]]</f>
        <v>0</v>
      </c>
      <c r="O536" s="38" t="str">
        <f>IF(ISBLANK(tblDonnées[[#This Row],[MONTANT AUTO]]), "N/A", ABS(tblDonnées[[#This Row],[POS  FUSIONNEE CPTE APRES OP]])-ABS(tblDonnées[[#This Row],[MONTANT AUTO]]))</f>
        <v>N/A</v>
      </c>
      <c r="P536" s="55" t="e">
        <f>tblDonnées[[#This Row],[DEPASSEMENT TOTAL SUR AUTO
]]/-tblDonnées[[#This Row],[MONTANT AUTO]]</f>
        <v>#VALUE!</v>
      </c>
      <c r="Q536" s="33"/>
      <c r="R536" s="33"/>
      <c r="S536" s="33"/>
      <c r="T536" s="40">
        <f>IF(tblDonnées[[#This Row],[0,5% du dép]]&lt;5000,5000,IF(tblDonnées[[#This Row],[0,5% du dép]]&gt;50000,50000,tblDonnées[[#This Row],[0,5% du dép]]))</f>
        <v>5000</v>
      </c>
      <c r="U536" s="56">
        <f>ABS(tblDonnées[[#This Row],[MONTANT DEPASSEMENT]]*0.005)</f>
        <v>0</v>
      </c>
      <c r="V536" s="33"/>
      <c r="W536" s="33"/>
      <c r="X536" s="33"/>
      <c r="Y536" s="33"/>
      <c r="Z536" s="33"/>
    </row>
    <row r="537" spans="1:26" x14ac:dyDescent="0.25">
      <c r="A537" s="33"/>
      <c r="B537" s="33"/>
      <c r="C537" s="33"/>
      <c r="E537" s="53"/>
      <c r="G537" s="34"/>
      <c r="H537" s="33"/>
      <c r="I537" s="33"/>
      <c r="J537" s="42"/>
      <c r="K537" s="43"/>
      <c r="L537" s="44"/>
      <c r="M537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37" s="54">
        <f>tblDonnées[[#This Row],[MONTANT OPERATION]]+tblDonnées[[#This Row],[POS  FUSIONNEE CPTE AVANT OP]]</f>
        <v>0</v>
      </c>
      <c r="O537" s="38" t="str">
        <f>IF(ISBLANK(tblDonnées[[#This Row],[MONTANT AUTO]]), "N/A", ABS(tblDonnées[[#This Row],[POS  FUSIONNEE CPTE APRES OP]])-ABS(tblDonnées[[#This Row],[MONTANT AUTO]]))</f>
        <v>N/A</v>
      </c>
      <c r="P537" s="55" t="e">
        <f>tblDonnées[[#This Row],[DEPASSEMENT TOTAL SUR AUTO
]]/-tblDonnées[[#This Row],[MONTANT AUTO]]</f>
        <v>#VALUE!</v>
      </c>
      <c r="Q537" s="33"/>
      <c r="R537" s="33"/>
      <c r="S537" s="33"/>
      <c r="T537" s="40">
        <f>IF(tblDonnées[[#This Row],[0,5% du dép]]&lt;5000,5000,IF(tblDonnées[[#This Row],[0,5% du dép]]&gt;50000,50000,tblDonnées[[#This Row],[0,5% du dép]]))</f>
        <v>5000</v>
      </c>
      <c r="U537" s="56">
        <f>ABS(tblDonnées[[#This Row],[MONTANT DEPASSEMENT]]*0.005)</f>
        <v>0</v>
      </c>
      <c r="V537" s="33"/>
      <c r="W537" s="33"/>
      <c r="X537" s="33"/>
      <c r="Y537" s="33"/>
      <c r="Z537" s="33"/>
    </row>
    <row r="538" spans="1:26" x14ac:dyDescent="0.25">
      <c r="A538" s="33"/>
      <c r="B538" s="33"/>
      <c r="C538" s="33"/>
      <c r="E538" s="53"/>
      <c r="G538" s="34"/>
      <c r="H538" s="33"/>
      <c r="I538" s="33"/>
      <c r="J538" s="42"/>
      <c r="K538" s="43"/>
      <c r="L538" s="44"/>
      <c r="M538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38" s="54">
        <f>tblDonnées[[#This Row],[MONTANT OPERATION]]+tblDonnées[[#This Row],[POS  FUSIONNEE CPTE AVANT OP]]</f>
        <v>0</v>
      </c>
      <c r="O538" s="38" t="str">
        <f>IF(ISBLANK(tblDonnées[[#This Row],[MONTANT AUTO]]), "N/A", ABS(tblDonnées[[#This Row],[POS  FUSIONNEE CPTE APRES OP]])-ABS(tblDonnées[[#This Row],[MONTANT AUTO]]))</f>
        <v>N/A</v>
      </c>
      <c r="P538" s="55" t="e">
        <f>tblDonnées[[#This Row],[DEPASSEMENT TOTAL SUR AUTO
]]/-tblDonnées[[#This Row],[MONTANT AUTO]]</f>
        <v>#VALUE!</v>
      </c>
      <c r="Q538" s="33"/>
      <c r="R538" s="33"/>
      <c r="S538" s="33"/>
      <c r="T538" s="40">
        <f>IF(tblDonnées[[#This Row],[0,5% du dép]]&lt;5000,5000,IF(tblDonnées[[#This Row],[0,5% du dép]]&gt;50000,50000,tblDonnées[[#This Row],[0,5% du dép]]))</f>
        <v>5000</v>
      </c>
      <c r="U538" s="56">
        <f>ABS(tblDonnées[[#This Row],[MONTANT DEPASSEMENT]]*0.005)</f>
        <v>0</v>
      </c>
      <c r="V538" s="33"/>
      <c r="W538" s="33"/>
      <c r="X538" s="33"/>
      <c r="Y538" s="33"/>
      <c r="Z538" s="33"/>
    </row>
    <row r="539" spans="1:26" x14ac:dyDescent="0.25">
      <c r="A539" s="33"/>
      <c r="B539" s="33"/>
      <c r="C539" s="33"/>
      <c r="E539" s="53"/>
      <c r="G539" s="34"/>
      <c r="H539" s="33"/>
      <c r="I539" s="33"/>
      <c r="J539" s="42"/>
      <c r="K539" s="43"/>
      <c r="L539" s="44"/>
      <c r="M539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39" s="54">
        <f>tblDonnées[[#This Row],[MONTANT OPERATION]]+tblDonnées[[#This Row],[POS  FUSIONNEE CPTE AVANT OP]]</f>
        <v>0</v>
      </c>
      <c r="O539" s="38" t="str">
        <f>IF(ISBLANK(tblDonnées[[#This Row],[MONTANT AUTO]]), "N/A", ABS(tblDonnées[[#This Row],[POS  FUSIONNEE CPTE APRES OP]])-ABS(tblDonnées[[#This Row],[MONTANT AUTO]]))</f>
        <v>N/A</v>
      </c>
      <c r="P539" s="55" t="e">
        <f>tblDonnées[[#This Row],[DEPASSEMENT TOTAL SUR AUTO
]]/-tblDonnées[[#This Row],[MONTANT AUTO]]</f>
        <v>#VALUE!</v>
      </c>
      <c r="Q539" s="33"/>
      <c r="R539" s="33"/>
      <c r="S539" s="33"/>
      <c r="T539" s="40">
        <f>IF(tblDonnées[[#This Row],[0,5% du dép]]&lt;5000,5000,IF(tblDonnées[[#This Row],[0,5% du dép]]&gt;50000,50000,tblDonnées[[#This Row],[0,5% du dép]]))</f>
        <v>5000</v>
      </c>
      <c r="U539" s="56">
        <f>ABS(tblDonnées[[#This Row],[MONTANT DEPASSEMENT]]*0.005)</f>
        <v>0</v>
      </c>
      <c r="V539" s="33"/>
      <c r="W539" s="33"/>
      <c r="X539" s="33"/>
      <c r="Y539" s="33"/>
      <c r="Z539" s="33"/>
    </row>
    <row r="540" spans="1:26" x14ac:dyDescent="0.25">
      <c r="A540" s="33"/>
      <c r="B540" s="33"/>
      <c r="C540" s="33"/>
      <c r="E540" s="53"/>
      <c r="G540" s="34"/>
      <c r="H540" s="33"/>
      <c r="I540" s="33"/>
      <c r="J540" s="42"/>
      <c r="K540" s="43"/>
      <c r="L540" s="44"/>
      <c r="M540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40" s="54">
        <f>tblDonnées[[#This Row],[MONTANT OPERATION]]+tblDonnées[[#This Row],[POS  FUSIONNEE CPTE AVANT OP]]</f>
        <v>0</v>
      </c>
      <c r="O540" s="38" t="str">
        <f>IF(ISBLANK(tblDonnées[[#This Row],[MONTANT AUTO]]), "N/A", ABS(tblDonnées[[#This Row],[POS  FUSIONNEE CPTE APRES OP]])-ABS(tblDonnées[[#This Row],[MONTANT AUTO]]))</f>
        <v>N/A</v>
      </c>
      <c r="P540" s="55" t="e">
        <f>tblDonnées[[#This Row],[DEPASSEMENT TOTAL SUR AUTO
]]/-tblDonnées[[#This Row],[MONTANT AUTO]]</f>
        <v>#VALUE!</v>
      </c>
      <c r="Q540" s="33"/>
      <c r="R540" s="33"/>
      <c r="S540" s="33"/>
      <c r="T540" s="40">
        <f>IF(tblDonnées[[#This Row],[0,5% du dép]]&lt;5000,5000,IF(tblDonnées[[#This Row],[0,5% du dép]]&gt;50000,50000,tblDonnées[[#This Row],[0,5% du dép]]))</f>
        <v>5000</v>
      </c>
      <c r="U540" s="56">
        <f>ABS(tblDonnées[[#This Row],[MONTANT DEPASSEMENT]]*0.005)</f>
        <v>0</v>
      </c>
      <c r="V540" s="33"/>
      <c r="W540" s="33"/>
      <c r="X540" s="33"/>
      <c r="Y540" s="33"/>
      <c r="Z540" s="33"/>
    </row>
    <row r="541" spans="1:26" x14ac:dyDescent="0.25">
      <c r="A541" s="33"/>
      <c r="B541" s="33"/>
      <c r="C541" s="33"/>
      <c r="E541" s="53"/>
      <c r="G541" s="34"/>
      <c r="H541" s="33"/>
      <c r="I541" s="33"/>
      <c r="J541" s="42"/>
      <c r="K541" s="43"/>
      <c r="L541" s="44"/>
      <c r="M541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41" s="54">
        <f>tblDonnées[[#This Row],[MONTANT OPERATION]]+tblDonnées[[#This Row],[POS  FUSIONNEE CPTE AVANT OP]]</f>
        <v>0</v>
      </c>
      <c r="O541" s="38" t="str">
        <f>IF(ISBLANK(tblDonnées[[#This Row],[MONTANT AUTO]]), "N/A", ABS(tblDonnées[[#This Row],[POS  FUSIONNEE CPTE APRES OP]])-ABS(tblDonnées[[#This Row],[MONTANT AUTO]]))</f>
        <v>N/A</v>
      </c>
      <c r="P541" s="55" t="e">
        <f>tblDonnées[[#This Row],[DEPASSEMENT TOTAL SUR AUTO
]]/-tblDonnées[[#This Row],[MONTANT AUTO]]</f>
        <v>#VALUE!</v>
      </c>
      <c r="Q541" s="33"/>
      <c r="R541" s="33"/>
      <c r="S541" s="33"/>
      <c r="T541" s="40">
        <f>IF(tblDonnées[[#This Row],[0,5% du dép]]&lt;5000,5000,IF(tblDonnées[[#This Row],[0,5% du dép]]&gt;50000,50000,tblDonnées[[#This Row],[0,5% du dép]]))</f>
        <v>5000</v>
      </c>
      <c r="U541" s="56">
        <f>ABS(tblDonnées[[#This Row],[MONTANT DEPASSEMENT]]*0.005)</f>
        <v>0</v>
      </c>
      <c r="V541" s="33"/>
      <c r="W541" s="33"/>
      <c r="X541" s="33"/>
      <c r="Y541" s="33"/>
      <c r="Z541" s="33"/>
    </row>
    <row r="542" spans="1:26" x14ac:dyDescent="0.25">
      <c r="A542" s="33"/>
      <c r="B542" s="33"/>
      <c r="C542" s="33"/>
      <c r="E542" s="53"/>
      <c r="G542" s="34"/>
      <c r="H542" s="33"/>
      <c r="I542" s="33"/>
      <c r="J542" s="42"/>
      <c r="K542" s="43"/>
      <c r="L542" s="44"/>
      <c r="M542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42" s="54">
        <f>tblDonnées[[#This Row],[MONTANT OPERATION]]+tblDonnées[[#This Row],[POS  FUSIONNEE CPTE AVANT OP]]</f>
        <v>0</v>
      </c>
      <c r="O542" s="38" t="str">
        <f>IF(ISBLANK(tblDonnées[[#This Row],[MONTANT AUTO]]), "N/A", ABS(tblDonnées[[#This Row],[POS  FUSIONNEE CPTE APRES OP]])-ABS(tblDonnées[[#This Row],[MONTANT AUTO]]))</f>
        <v>N/A</v>
      </c>
      <c r="P542" s="55" t="e">
        <f>tblDonnées[[#This Row],[DEPASSEMENT TOTAL SUR AUTO
]]/-tblDonnées[[#This Row],[MONTANT AUTO]]</f>
        <v>#VALUE!</v>
      </c>
      <c r="Q542" s="33"/>
      <c r="R542" s="33"/>
      <c r="S542" s="33"/>
      <c r="T542" s="40">
        <f>IF(tblDonnées[[#This Row],[0,5% du dép]]&lt;5000,5000,IF(tblDonnées[[#This Row],[0,5% du dép]]&gt;50000,50000,tblDonnées[[#This Row],[0,5% du dép]]))</f>
        <v>5000</v>
      </c>
      <c r="U542" s="56">
        <f>ABS(tblDonnées[[#This Row],[MONTANT DEPASSEMENT]]*0.005)</f>
        <v>0</v>
      </c>
      <c r="V542" s="33"/>
      <c r="W542" s="33"/>
      <c r="X542" s="33"/>
      <c r="Y542" s="33"/>
      <c r="Z542" s="33"/>
    </row>
    <row r="543" spans="1:26" x14ac:dyDescent="0.25">
      <c r="A543" s="33"/>
      <c r="B543" s="33"/>
      <c r="C543" s="33"/>
      <c r="E543" s="53"/>
      <c r="G543" s="34"/>
      <c r="H543" s="33"/>
      <c r="I543" s="33"/>
      <c r="J543" s="42"/>
      <c r="K543" s="43"/>
      <c r="L543" s="44"/>
      <c r="M543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43" s="54">
        <f>tblDonnées[[#This Row],[MONTANT OPERATION]]+tblDonnées[[#This Row],[POS  FUSIONNEE CPTE AVANT OP]]</f>
        <v>0</v>
      </c>
      <c r="O543" s="38" t="str">
        <f>IF(ISBLANK(tblDonnées[[#This Row],[MONTANT AUTO]]), "N/A", ABS(tblDonnées[[#This Row],[POS  FUSIONNEE CPTE APRES OP]])-ABS(tblDonnées[[#This Row],[MONTANT AUTO]]))</f>
        <v>N/A</v>
      </c>
      <c r="P543" s="55" t="e">
        <f>tblDonnées[[#This Row],[DEPASSEMENT TOTAL SUR AUTO
]]/-tblDonnées[[#This Row],[MONTANT AUTO]]</f>
        <v>#VALUE!</v>
      </c>
      <c r="Q543" s="33"/>
      <c r="R543" s="33"/>
      <c r="S543" s="33"/>
      <c r="T543" s="40">
        <f>IF(tblDonnées[[#This Row],[0,5% du dép]]&lt;5000,5000,IF(tblDonnées[[#This Row],[0,5% du dép]]&gt;50000,50000,tblDonnées[[#This Row],[0,5% du dép]]))</f>
        <v>5000</v>
      </c>
      <c r="U543" s="56">
        <f>ABS(tblDonnées[[#This Row],[MONTANT DEPASSEMENT]]*0.005)</f>
        <v>0</v>
      </c>
      <c r="V543" s="33"/>
      <c r="W543" s="33"/>
      <c r="X543" s="33"/>
      <c r="Y543" s="33"/>
      <c r="Z543" s="33"/>
    </row>
    <row r="544" spans="1:26" x14ac:dyDescent="0.25">
      <c r="A544" s="33"/>
      <c r="B544" s="33"/>
      <c r="C544" s="33"/>
      <c r="E544" s="53"/>
      <c r="G544" s="34"/>
      <c r="H544" s="33"/>
      <c r="I544" s="33"/>
      <c r="J544" s="42"/>
      <c r="K544" s="43"/>
      <c r="L544" s="44"/>
      <c r="M544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44" s="54">
        <f>tblDonnées[[#This Row],[MONTANT OPERATION]]+tblDonnées[[#This Row],[POS  FUSIONNEE CPTE AVANT OP]]</f>
        <v>0</v>
      </c>
      <c r="O544" s="38" t="str">
        <f>IF(ISBLANK(tblDonnées[[#This Row],[MONTANT AUTO]]), "N/A", ABS(tblDonnées[[#This Row],[POS  FUSIONNEE CPTE APRES OP]])-ABS(tblDonnées[[#This Row],[MONTANT AUTO]]))</f>
        <v>N/A</v>
      </c>
      <c r="P544" s="55" t="e">
        <f>tblDonnées[[#This Row],[DEPASSEMENT TOTAL SUR AUTO
]]/-tblDonnées[[#This Row],[MONTANT AUTO]]</f>
        <v>#VALUE!</v>
      </c>
      <c r="Q544" s="33"/>
      <c r="R544" s="33"/>
      <c r="S544" s="33"/>
      <c r="T544" s="40">
        <f>IF(tblDonnées[[#This Row],[0,5% du dép]]&lt;5000,5000,IF(tblDonnées[[#This Row],[0,5% du dép]]&gt;50000,50000,tblDonnées[[#This Row],[0,5% du dép]]))</f>
        <v>5000</v>
      </c>
      <c r="U544" s="56">
        <f>ABS(tblDonnées[[#This Row],[MONTANT DEPASSEMENT]]*0.005)</f>
        <v>0</v>
      </c>
      <c r="V544" s="33"/>
      <c r="W544" s="33"/>
      <c r="X544" s="33"/>
      <c r="Y544" s="33"/>
      <c r="Z544" s="33"/>
    </row>
    <row r="545" spans="1:26" x14ac:dyDescent="0.25">
      <c r="A545" s="33"/>
      <c r="B545" s="33"/>
      <c r="C545" s="33"/>
      <c r="E545" s="53"/>
      <c r="G545" s="34"/>
      <c r="H545" s="33"/>
      <c r="I545" s="33"/>
      <c r="J545" s="42"/>
      <c r="K545" s="43"/>
      <c r="L545" s="44"/>
      <c r="M545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45" s="54">
        <f>tblDonnées[[#This Row],[MONTANT OPERATION]]+tblDonnées[[#This Row],[POS  FUSIONNEE CPTE AVANT OP]]</f>
        <v>0</v>
      </c>
      <c r="O545" s="38" t="str">
        <f>IF(ISBLANK(tblDonnées[[#This Row],[MONTANT AUTO]]), "N/A", ABS(tblDonnées[[#This Row],[POS  FUSIONNEE CPTE APRES OP]])-ABS(tblDonnées[[#This Row],[MONTANT AUTO]]))</f>
        <v>N/A</v>
      </c>
      <c r="P545" s="55" t="e">
        <f>tblDonnées[[#This Row],[DEPASSEMENT TOTAL SUR AUTO
]]/-tblDonnées[[#This Row],[MONTANT AUTO]]</f>
        <v>#VALUE!</v>
      </c>
      <c r="Q545" s="33"/>
      <c r="R545" s="33"/>
      <c r="S545" s="33"/>
      <c r="T545" s="40">
        <f>IF(tblDonnées[[#This Row],[0,5% du dép]]&lt;5000,5000,IF(tblDonnées[[#This Row],[0,5% du dép]]&gt;50000,50000,tblDonnées[[#This Row],[0,5% du dép]]))</f>
        <v>5000</v>
      </c>
      <c r="U545" s="56">
        <f>ABS(tblDonnées[[#This Row],[MONTANT DEPASSEMENT]]*0.005)</f>
        <v>0</v>
      </c>
      <c r="V545" s="33"/>
      <c r="W545" s="33"/>
      <c r="X545" s="33"/>
      <c r="Y545" s="33"/>
      <c r="Z545" s="33"/>
    </row>
    <row r="546" spans="1:26" x14ac:dyDescent="0.25">
      <c r="A546" s="33"/>
      <c r="B546" s="33"/>
      <c r="C546" s="33"/>
      <c r="E546" s="53"/>
      <c r="G546" s="34"/>
      <c r="H546" s="33"/>
      <c r="I546" s="33"/>
      <c r="J546" s="42"/>
      <c r="K546" s="43"/>
      <c r="L546" s="44"/>
      <c r="M546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46" s="54">
        <f>tblDonnées[[#This Row],[MONTANT OPERATION]]+tblDonnées[[#This Row],[POS  FUSIONNEE CPTE AVANT OP]]</f>
        <v>0</v>
      </c>
      <c r="O546" s="38" t="str">
        <f>IF(ISBLANK(tblDonnées[[#This Row],[MONTANT AUTO]]), "N/A", ABS(tblDonnées[[#This Row],[POS  FUSIONNEE CPTE APRES OP]])-ABS(tblDonnées[[#This Row],[MONTANT AUTO]]))</f>
        <v>N/A</v>
      </c>
      <c r="P546" s="55" t="e">
        <f>tblDonnées[[#This Row],[DEPASSEMENT TOTAL SUR AUTO
]]/-tblDonnées[[#This Row],[MONTANT AUTO]]</f>
        <v>#VALUE!</v>
      </c>
      <c r="Q546" s="33"/>
      <c r="R546" s="33"/>
      <c r="S546" s="33"/>
      <c r="T546" s="40">
        <f>IF(tblDonnées[[#This Row],[0,5% du dép]]&lt;5000,5000,IF(tblDonnées[[#This Row],[0,5% du dép]]&gt;50000,50000,tblDonnées[[#This Row],[0,5% du dép]]))</f>
        <v>5000</v>
      </c>
      <c r="U546" s="56">
        <f>ABS(tblDonnées[[#This Row],[MONTANT DEPASSEMENT]]*0.005)</f>
        <v>0</v>
      </c>
      <c r="V546" s="33"/>
      <c r="W546" s="33"/>
      <c r="X546" s="33"/>
      <c r="Y546" s="33"/>
      <c r="Z546" s="33"/>
    </row>
    <row r="547" spans="1:26" x14ac:dyDescent="0.25">
      <c r="A547" s="33"/>
      <c r="B547" s="33"/>
      <c r="C547" s="33"/>
      <c r="E547" s="53"/>
      <c r="G547" s="34"/>
      <c r="H547" s="33"/>
      <c r="I547" s="33"/>
      <c r="J547" s="42"/>
      <c r="K547" s="43"/>
      <c r="L547" s="44"/>
      <c r="M547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47" s="54">
        <f>tblDonnées[[#This Row],[MONTANT OPERATION]]+tblDonnées[[#This Row],[POS  FUSIONNEE CPTE AVANT OP]]</f>
        <v>0</v>
      </c>
      <c r="O547" s="38" t="str">
        <f>IF(ISBLANK(tblDonnées[[#This Row],[MONTANT AUTO]]), "N/A", ABS(tblDonnées[[#This Row],[POS  FUSIONNEE CPTE APRES OP]])-ABS(tblDonnées[[#This Row],[MONTANT AUTO]]))</f>
        <v>N/A</v>
      </c>
      <c r="P547" s="55" t="e">
        <f>tblDonnées[[#This Row],[DEPASSEMENT TOTAL SUR AUTO
]]/-tblDonnées[[#This Row],[MONTANT AUTO]]</f>
        <v>#VALUE!</v>
      </c>
      <c r="Q547" s="33"/>
      <c r="R547" s="33"/>
      <c r="S547" s="33"/>
      <c r="T547" s="40">
        <f>IF(tblDonnées[[#This Row],[0,5% du dép]]&lt;5000,5000,IF(tblDonnées[[#This Row],[0,5% du dép]]&gt;50000,50000,tblDonnées[[#This Row],[0,5% du dép]]))</f>
        <v>5000</v>
      </c>
      <c r="U547" s="56">
        <f>ABS(tblDonnées[[#This Row],[MONTANT DEPASSEMENT]]*0.005)</f>
        <v>0</v>
      </c>
      <c r="V547" s="33"/>
      <c r="W547" s="33"/>
      <c r="X547" s="33"/>
      <c r="Y547" s="33"/>
      <c r="Z547" s="33"/>
    </row>
    <row r="548" spans="1:26" x14ac:dyDescent="0.25">
      <c r="A548" s="33"/>
      <c r="B548" s="33"/>
      <c r="C548" s="33"/>
      <c r="E548" s="53"/>
      <c r="G548" s="34"/>
      <c r="H548" s="33"/>
      <c r="I548" s="33"/>
      <c r="J548" s="42"/>
      <c r="K548" s="43"/>
      <c r="L548" s="44"/>
      <c r="M548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48" s="54">
        <f>tblDonnées[[#This Row],[MONTANT OPERATION]]+tblDonnées[[#This Row],[POS  FUSIONNEE CPTE AVANT OP]]</f>
        <v>0</v>
      </c>
      <c r="O548" s="38" t="str">
        <f>IF(ISBLANK(tblDonnées[[#This Row],[MONTANT AUTO]]), "N/A", ABS(tblDonnées[[#This Row],[POS  FUSIONNEE CPTE APRES OP]])-ABS(tblDonnées[[#This Row],[MONTANT AUTO]]))</f>
        <v>N/A</v>
      </c>
      <c r="P548" s="55" t="e">
        <f>tblDonnées[[#This Row],[DEPASSEMENT TOTAL SUR AUTO
]]/-tblDonnées[[#This Row],[MONTANT AUTO]]</f>
        <v>#VALUE!</v>
      </c>
      <c r="Q548" s="33"/>
      <c r="R548" s="33"/>
      <c r="S548" s="33"/>
      <c r="T548" s="40">
        <f>IF(tblDonnées[[#This Row],[0,5% du dép]]&lt;5000,5000,IF(tblDonnées[[#This Row],[0,5% du dép]]&gt;50000,50000,tblDonnées[[#This Row],[0,5% du dép]]))</f>
        <v>5000</v>
      </c>
      <c r="U548" s="56">
        <f>ABS(tblDonnées[[#This Row],[MONTANT DEPASSEMENT]]*0.005)</f>
        <v>0</v>
      </c>
      <c r="V548" s="33"/>
      <c r="W548" s="33"/>
      <c r="X548" s="33"/>
      <c r="Y548" s="33"/>
      <c r="Z548" s="33"/>
    </row>
    <row r="549" spans="1:26" x14ac:dyDescent="0.25">
      <c r="A549" s="33"/>
      <c r="B549" s="33"/>
      <c r="C549" s="33"/>
      <c r="E549" s="53"/>
      <c r="G549" s="34"/>
      <c r="H549" s="33"/>
      <c r="I549" s="33"/>
      <c r="J549" s="42"/>
      <c r="K549" s="43"/>
      <c r="L549" s="44"/>
      <c r="M549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49" s="54">
        <f>tblDonnées[[#This Row],[MONTANT OPERATION]]+tblDonnées[[#This Row],[POS  FUSIONNEE CPTE AVANT OP]]</f>
        <v>0</v>
      </c>
      <c r="O549" s="38" t="str">
        <f>IF(ISBLANK(tblDonnées[[#This Row],[MONTANT AUTO]]), "N/A", ABS(tblDonnées[[#This Row],[POS  FUSIONNEE CPTE APRES OP]])-ABS(tblDonnées[[#This Row],[MONTANT AUTO]]))</f>
        <v>N/A</v>
      </c>
      <c r="P549" s="55" t="e">
        <f>tblDonnées[[#This Row],[DEPASSEMENT TOTAL SUR AUTO
]]/-tblDonnées[[#This Row],[MONTANT AUTO]]</f>
        <v>#VALUE!</v>
      </c>
      <c r="Q549" s="33"/>
      <c r="R549" s="33"/>
      <c r="S549" s="33"/>
      <c r="T549" s="40">
        <f>IF(tblDonnées[[#This Row],[0,5% du dép]]&lt;5000,5000,IF(tblDonnées[[#This Row],[0,5% du dép]]&gt;50000,50000,tblDonnées[[#This Row],[0,5% du dép]]))</f>
        <v>5000</v>
      </c>
      <c r="U549" s="56">
        <f>ABS(tblDonnées[[#This Row],[MONTANT DEPASSEMENT]]*0.005)</f>
        <v>0</v>
      </c>
      <c r="V549" s="33"/>
      <c r="W549" s="33"/>
      <c r="X549" s="33"/>
      <c r="Y549" s="33"/>
      <c r="Z549" s="33"/>
    </row>
    <row r="550" spans="1:26" x14ac:dyDescent="0.25">
      <c r="A550" s="33"/>
      <c r="B550" s="33"/>
      <c r="C550" s="33"/>
      <c r="E550" s="53"/>
      <c r="G550" s="34"/>
      <c r="H550" s="33"/>
      <c r="I550" s="33"/>
      <c r="J550" s="42"/>
      <c r="K550" s="43"/>
      <c r="L550" s="44"/>
      <c r="M550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50" s="54">
        <f>tblDonnées[[#This Row],[MONTANT OPERATION]]+tblDonnées[[#This Row],[POS  FUSIONNEE CPTE AVANT OP]]</f>
        <v>0</v>
      </c>
      <c r="O550" s="38" t="str">
        <f>IF(ISBLANK(tblDonnées[[#This Row],[MONTANT AUTO]]), "N/A", ABS(tblDonnées[[#This Row],[POS  FUSIONNEE CPTE APRES OP]])-ABS(tblDonnées[[#This Row],[MONTANT AUTO]]))</f>
        <v>N/A</v>
      </c>
      <c r="P550" s="55" t="e">
        <f>tblDonnées[[#This Row],[DEPASSEMENT TOTAL SUR AUTO
]]/-tblDonnées[[#This Row],[MONTANT AUTO]]</f>
        <v>#VALUE!</v>
      </c>
      <c r="Q550" s="33"/>
      <c r="R550" s="33"/>
      <c r="S550" s="33"/>
      <c r="T550" s="40">
        <f>IF(tblDonnées[[#This Row],[0,5% du dép]]&lt;5000,5000,IF(tblDonnées[[#This Row],[0,5% du dép]]&gt;50000,50000,tblDonnées[[#This Row],[0,5% du dép]]))</f>
        <v>5000</v>
      </c>
      <c r="U550" s="56">
        <f>ABS(tblDonnées[[#This Row],[MONTANT DEPASSEMENT]]*0.005)</f>
        <v>0</v>
      </c>
      <c r="V550" s="33"/>
      <c r="W550" s="33"/>
      <c r="X550" s="33"/>
      <c r="Y550" s="33"/>
      <c r="Z550" s="33"/>
    </row>
    <row r="551" spans="1:26" x14ac:dyDescent="0.25">
      <c r="A551" s="33"/>
      <c r="B551" s="33"/>
      <c r="C551" s="33"/>
      <c r="E551" s="53"/>
      <c r="G551" s="34"/>
      <c r="H551" s="33"/>
      <c r="I551" s="33"/>
      <c r="J551" s="42"/>
      <c r="K551" s="43"/>
      <c r="L551" s="44"/>
      <c r="M551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51" s="54">
        <f>tblDonnées[[#This Row],[MONTANT OPERATION]]+tblDonnées[[#This Row],[POS  FUSIONNEE CPTE AVANT OP]]</f>
        <v>0</v>
      </c>
      <c r="O551" s="38" t="str">
        <f>IF(ISBLANK(tblDonnées[[#This Row],[MONTANT AUTO]]), "N/A", ABS(tblDonnées[[#This Row],[POS  FUSIONNEE CPTE APRES OP]])-ABS(tblDonnées[[#This Row],[MONTANT AUTO]]))</f>
        <v>N/A</v>
      </c>
      <c r="P551" s="55" t="e">
        <f>tblDonnées[[#This Row],[DEPASSEMENT TOTAL SUR AUTO
]]/-tblDonnées[[#This Row],[MONTANT AUTO]]</f>
        <v>#VALUE!</v>
      </c>
      <c r="Q551" s="33"/>
      <c r="R551" s="33"/>
      <c r="S551" s="33"/>
      <c r="T551" s="40">
        <f>IF(tblDonnées[[#This Row],[0,5% du dép]]&lt;5000,5000,IF(tblDonnées[[#This Row],[0,5% du dép]]&gt;50000,50000,tblDonnées[[#This Row],[0,5% du dép]]))</f>
        <v>5000</v>
      </c>
      <c r="U551" s="56">
        <f>ABS(tblDonnées[[#This Row],[MONTANT DEPASSEMENT]]*0.005)</f>
        <v>0</v>
      </c>
      <c r="V551" s="33"/>
      <c r="W551" s="33"/>
      <c r="X551" s="33"/>
      <c r="Y551" s="33"/>
      <c r="Z551" s="33"/>
    </row>
    <row r="552" spans="1:26" x14ac:dyDescent="0.25">
      <c r="A552" s="33"/>
      <c r="B552" s="33"/>
      <c r="C552" s="33"/>
      <c r="E552" s="53"/>
      <c r="G552" s="34"/>
      <c r="H552" s="33"/>
      <c r="I552" s="33"/>
      <c r="J552" s="42"/>
      <c r="K552" s="43"/>
      <c r="L552" s="44"/>
      <c r="M552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52" s="54">
        <f>tblDonnées[[#This Row],[MONTANT OPERATION]]+tblDonnées[[#This Row],[POS  FUSIONNEE CPTE AVANT OP]]</f>
        <v>0</v>
      </c>
      <c r="O552" s="38" t="str">
        <f>IF(ISBLANK(tblDonnées[[#This Row],[MONTANT AUTO]]), "N/A", ABS(tblDonnées[[#This Row],[POS  FUSIONNEE CPTE APRES OP]])-ABS(tblDonnées[[#This Row],[MONTANT AUTO]]))</f>
        <v>N/A</v>
      </c>
      <c r="P552" s="55" t="e">
        <f>tblDonnées[[#This Row],[DEPASSEMENT TOTAL SUR AUTO
]]/-tblDonnées[[#This Row],[MONTANT AUTO]]</f>
        <v>#VALUE!</v>
      </c>
      <c r="Q552" s="33"/>
      <c r="R552" s="33"/>
      <c r="S552" s="33"/>
      <c r="T552" s="40">
        <f>IF(tblDonnées[[#This Row],[0,5% du dép]]&lt;5000,5000,IF(tblDonnées[[#This Row],[0,5% du dép]]&gt;50000,50000,tblDonnées[[#This Row],[0,5% du dép]]))</f>
        <v>5000</v>
      </c>
      <c r="U552" s="56">
        <f>ABS(tblDonnées[[#This Row],[MONTANT DEPASSEMENT]]*0.005)</f>
        <v>0</v>
      </c>
      <c r="V552" s="33"/>
      <c r="W552" s="33"/>
      <c r="X552" s="33"/>
      <c r="Y552" s="33"/>
      <c r="Z552" s="33"/>
    </row>
    <row r="553" spans="1:26" x14ac:dyDescent="0.25">
      <c r="A553" s="33"/>
      <c r="B553" s="33"/>
      <c r="C553" s="33"/>
      <c r="E553" s="53"/>
      <c r="G553" s="34"/>
      <c r="H553" s="33"/>
      <c r="I553" s="33"/>
      <c r="J553" s="42"/>
      <c r="K553" s="43"/>
      <c r="L553" s="44"/>
      <c r="M553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53" s="54">
        <f>tblDonnées[[#This Row],[MONTANT OPERATION]]+tblDonnées[[#This Row],[POS  FUSIONNEE CPTE AVANT OP]]</f>
        <v>0</v>
      </c>
      <c r="O553" s="38" t="str">
        <f>IF(ISBLANK(tblDonnées[[#This Row],[MONTANT AUTO]]), "N/A", ABS(tblDonnées[[#This Row],[POS  FUSIONNEE CPTE APRES OP]])-ABS(tblDonnées[[#This Row],[MONTANT AUTO]]))</f>
        <v>N/A</v>
      </c>
      <c r="P553" s="55" t="e">
        <f>tblDonnées[[#This Row],[DEPASSEMENT TOTAL SUR AUTO
]]/-tblDonnées[[#This Row],[MONTANT AUTO]]</f>
        <v>#VALUE!</v>
      </c>
      <c r="Q553" s="33"/>
      <c r="R553" s="33"/>
      <c r="S553" s="33"/>
      <c r="T553" s="40">
        <f>IF(tblDonnées[[#This Row],[0,5% du dép]]&lt;5000,5000,IF(tblDonnées[[#This Row],[0,5% du dép]]&gt;50000,50000,tblDonnées[[#This Row],[0,5% du dép]]))</f>
        <v>5000</v>
      </c>
      <c r="U553" s="56">
        <f>ABS(tblDonnées[[#This Row],[MONTANT DEPASSEMENT]]*0.005)</f>
        <v>0</v>
      </c>
      <c r="V553" s="33"/>
      <c r="W553" s="33"/>
      <c r="X553" s="33"/>
      <c r="Y553" s="33"/>
      <c r="Z553" s="33"/>
    </row>
    <row r="554" spans="1:26" x14ac:dyDescent="0.25">
      <c r="A554" s="33"/>
      <c r="B554" s="33"/>
      <c r="C554" s="33"/>
      <c r="E554" s="53"/>
      <c r="G554" s="34"/>
      <c r="H554" s="33"/>
      <c r="I554" s="33"/>
      <c r="J554" s="42"/>
      <c r="K554" s="43"/>
      <c r="L554" s="44"/>
      <c r="M554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54" s="54">
        <f>tblDonnées[[#This Row],[MONTANT OPERATION]]+tblDonnées[[#This Row],[POS  FUSIONNEE CPTE AVANT OP]]</f>
        <v>0</v>
      </c>
      <c r="O554" s="38" t="str">
        <f>IF(ISBLANK(tblDonnées[[#This Row],[MONTANT AUTO]]), "N/A", ABS(tblDonnées[[#This Row],[POS  FUSIONNEE CPTE APRES OP]])-ABS(tblDonnées[[#This Row],[MONTANT AUTO]]))</f>
        <v>N/A</v>
      </c>
      <c r="P554" s="55" t="e">
        <f>tblDonnées[[#This Row],[DEPASSEMENT TOTAL SUR AUTO
]]/-tblDonnées[[#This Row],[MONTANT AUTO]]</f>
        <v>#VALUE!</v>
      </c>
      <c r="Q554" s="33"/>
      <c r="R554" s="33"/>
      <c r="S554" s="33"/>
      <c r="T554" s="40">
        <f>IF(tblDonnées[[#This Row],[0,5% du dép]]&lt;5000,5000,IF(tblDonnées[[#This Row],[0,5% du dép]]&gt;50000,50000,tblDonnées[[#This Row],[0,5% du dép]]))</f>
        <v>5000</v>
      </c>
      <c r="U554" s="56">
        <f>ABS(tblDonnées[[#This Row],[MONTANT DEPASSEMENT]]*0.005)</f>
        <v>0</v>
      </c>
      <c r="V554" s="33"/>
      <c r="W554" s="33"/>
      <c r="X554" s="33"/>
      <c r="Y554" s="33"/>
      <c r="Z554" s="33"/>
    </row>
    <row r="555" spans="1:26" x14ac:dyDescent="0.25">
      <c r="A555" s="33"/>
      <c r="B555" s="33"/>
      <c r="C555" s="33"/>
      <c r="E555" s="53"/>
      <c r="G555" s="34"/>
      <c r="H555" s="33"/>
      <c r="I555" s="33"/>
      <c r="J555" s="42"/>
      <c r="K555" s="43"/>
      <c r="L555" s="44"/>
      <c r="M555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55" s="54">
        <f>tblDonnées[[#This Row],[MONTANT OPERATION]]+tblDonnées[[#This Row],[POS  FUSIONNEE CPTE AVANT OP]]</f>
        <v>0</v>
      </c>
      <c r="O555" s="38" t="str">
        <f>IF(ISBLANK(tblDonnées[[#This Row],[MONTANT AUTO]]), "N/A", ABS(tblDonnées[[#This Row],[POS  FUSIONNEE CPTE APRES OP]])-ABS(tblDonnées[[#This Row],[MONTANT AUTO]]))</f>
        <v>N/A</v>
      </c>
      <c r="P555" s="55" t="e">
        <f>tblDonnées[[#This Row],[DEPASSEMENT TOTAL SUR AUTO
]]/-tblDonnées[[#This Row],[MONTANT AUTO]]</f>
        <v>#VALUE!</v>
      </c>
      <c r="Q555" s="33"/>
      <c r="R555" s="33"/>
      <c r="S555" s="33"/>
      <c r="T555" s="40">
        <f>IF(tblDonnées[[#This Row],[0,5% du dép]]&lt;5000,5000,IF(tblDonnées[[#This Row],[0,5% du dép]]&gt;50000,50000,tblDonnées[[#This Row],[0,5% du dép]]))</f>
        <v>5000</v>
      </c>
      <c r="U555" s="56">
        <f>ABS(tblDonnées[[#This Row],[MONTANT DEPASSEMENT]]*0.005)</f>
        <v>0</v>
      </c>
      <c r="V555" s="33"/>
      <c r="W555" s="33"/>
      <c r="X555" s="33"/>
      <c r="Y555" s="33"/>
      <c r="Z555" s="33"/>
    </row>
    <row r="556" spans="1:26" x14ac:dyDescent="0.25">
      <c r="A556" s="33"/>
      <c r="B556" s="33"/>
      <c r="C556" s="33"/>
      <c r="E556" s="53"/>
      <c r="G556" s="34"/>
      <c r="H556" s="33"/>
      <c r="I556" s="33"/>
      <c r="J556" s="42"/>
      <c r="K556" s="43"/>
      <c r="L556" s="44"/>
      <c r="M556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56" s="54">
        <f>tblDonnées[[#This Row],[MONTANT OPERATION]]+tblDonnées[[#This Row],[POS  FUSIONNEE CPTE AVANT OP]]</f>
        <v>0</v>
      </c>
      <c r="O556" s="38" t="str">
        <f>IF(ISBLANK(tblDonnées[[#This Row],[MONTANT AUTO]]), "N/A", ABS(tblDonnées[[#This Row],[POS  FUSIONNEE CPTE APRES OP]])-ABS(tblDonnées[[#This Row],[MONTANT AUTO]]))</f>
        <v>N/A</v>
      </c>
      <c r="P556" s="55" t="e">
        <f>tblDonnées[[#This Row],[DEPASSEMENT TOTAL SUR AUTO
]]/-tblDonnées[[#This Row],[MONTANT AUTO]]</f>
        <v>#VALUE!</v>
      </c>
      <c r="Q556" s="33"/>
      <c r="R556" s="33"/>
      <c r="S556" s="33"/>
      <c r="T556" s="40">
        <f>IF(tblDonnées[[#This Row],[0,5% du dép]]&lt;5000,5000,IF(tblDonnées[[#This Row],[0,5% du dép]]&gt;50000,50000,tblDonnées[[#This Row],[0,5% du dép]]))</f>
        <v>5000</v>
      </c>
      <c r="U556" s="56">
        <f>ABS(tblDonnées[[#This Row],[MONTANT DEPASSEMENT]]*0.005)</f>
        <v>0</v>
      </c>
      <c r="V556" s="33"/>
      <c r="W556" s="33"/>
      <c r="X556" s="33"/>
      <c r="Y556" s="33"/>
      <c r="Z556" s="33"/>
    </row>
    <row r="557" spans="1:26" x14ac:dyDescent="0.25">
      <c r="A557" s="33"/>
      <c r="B557" s="33"/>
      <c r="C557" s="33"/>
      <c r="E557" s="53"/>
      <c r="G557" s="34"/>
      <c r="H557" s="33"/>
      <c r="I557" s="33"/>
      <c r="J557" s="42"/>
      <c r="K557" s="43"/>
      <c r="L557" s="44"/>
      <c r="M557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57" s="54">
        <f>tblDonnées[[#This Row],[MONTANT OPERATION]]+tblDonnées[[#This Row],[POS  FUSIONNEE CPTE AVANT OP]]</f>
        <v>0</v>
      </c>
      <c r="O557" s="38" t="str">
        <f>IF(ISBLANK(tblDonnées[[#This Row],[MONTANT AUTO]]), "N/A", ABS(tblDonnées[[#This Row],[POS  FUSIONNEE CPTE APRES OP]])-ABS(tblDonnées[[#This Row],[MONTANT AUTO]]))</f>
        <v>N/A</v>
      </c>
      <c r="P557" s="55" t="e">
        <f>tblDonnées[[#This Row],[DEPASSEMENT TOTAL SUR AUTO
]]/-tblDonnées[[#This Row],[MONTANT AUTO]]</f>
        <v>#VALUE!</v>
      </c>
      <c r="Q557" s="33"/>
      <c r="R557" s="33"/>
      <c r="S557" s="33"/>
      <c r="T557" s="40">
        <f>IF(tblDonnées[[#This Row],[0,5% du dép]]&lt;5000,5000,IF(tblDonnées[[#This Row],[0,5% du dép]]&gt;50000,50000,tblDonnées[[#This Row],[0,5% du dép]]))</f>
        <v>5000</v>
      </c>
      <c r="U557" s="56">
        <f>ABS(tblDonnées[[#This Row],[MONTANT DEPASSEMENT]]*0.005)</f>
        <v>0</v>
      </c>
      <c r="V557" s="33"/>
      <c r="W557" s="33"/>
      <c r="X557" s="33"/>
      <c r="Y557" s="33"/>
      <c r="Z557" s="33"/>
    </row>
    <row r="558" spans="1:26" x14ac:dyDescent="0.25">
      <c r="A558" s="33"/>
      <c r="B558" s="33"/>
      <c r="C558" s="33"/>
      <c r="E558" s="53"/>
      <c r="G558" s="34"/>
      <c r="H558" s="33"/>
      <c r="I558" s="33"/>
      <c r="J558" s="42"/>
      <c r="K558" s="43"/>
      <c r="L558" s="44"/>
      <c r="M558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58" s="54">
        <f>tblDonnées[[#This Row],[MONTANT OPERATION]]+tblDonnées[[#This Row],[POS  FUSIONNEE CPTE AVANT OP]]</f>
        <v>0</v>
      </c>
      <c r="O558" s="38" t="str">
        <f>IF(ISBLANK(tblDonnées[[#This Row],[MONTANT AUTO]]), "N/A", ABS(tblDonnées[[#This Row],[POS  FUSIONNEE CPTE APRES OP]])-ABS(tblDonnées[[#This Row],[MONTANT AUTO]]))</f>
        <v>N/A</v>
      </c>
      <c r="P558" s="55" t="e">
        <f>tblDonnées[[#This Row],[DEPASSEMENT TOTAL SUR AUTO
]]/-tblDonnées[[#This Row],[MONTANT AUTO]]</f>
        <v>#VALUE!</v>
      </c>
      <c r="Q558" s="33"/>
      <c r="R558" s="33"/>
      <c r="S558" s="33"/>
      <c r="T558" s="40">
        <f>IF(tblDonnées[[#This Row],[0,5% du dép]]&lt;5000,5000,IF(tblDonnées[[#This Row],[0,5% du dép]]&gt;50000,50000,tblDonnées[[#This Row],[0,5% du dép]]))</f>
        <v>5000</v>
      </c>
      <c r="U558" s="56">
        <f>ABS(tblDonnées[[#This Row],[MONTANT DEPASSEMENT]]*0.005)</f>
        <v>0</v>
      </c>
      <c r="V558" s="33"/>
      <c r="W558" s="33"/>
      <c r="X558" s="33"/>
      <c r="Y558" s="33"/>
      <c r="Z558" s="33"/>
    </row>
    <row r="559" spans="1:26" x14ac:dyDescent="0.25">
      <c r="A559" s="33"/>
      <c r="B559" s="33"/>
      <c r="C559" s="33"/>
      <c r="E559" s="53"/>
      <c r="G559" s="34"/>
      <c r="H559" s="33"/>
      <c r="I559" s="33"/>
      <c r="J559" s="42"/>
      <c r="K559" s="43"/>
      <c r="L559" s="44"/>
      <c r="M559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59" s="54">
        <f>tblDonnées[[#This Row],[MONTANT OPERATION]]+tblDonnées[[#This Row],[POS  FUSIONNEE CPTE AVANT OP]]</f>
        <v>0</v>
      </c>
      <c r="O559" s="38" t="str">
        <f>IF(ISBLANK(tblDonnées[[#This Row],[MONTANT AUTO]]), "N/A", ABS(tblDonnées[[#This Row],[POS  FUSIONNEE CPTE APRES OP]])-ABS(tblDonnées[[#This Row],[MONTANT AUTO]]))</f>
        <v>N/A</v>
      </c>
      <c r="P559" s="55" t="e">
        <f>tblDonnées[[#This Row],[DEPASSEMENT TOTAL SUR AUTO
]]/-tblDonnées[[#This Row],[MONTANT AUTO]]</f>
        <v>#VALUE!</v>
      </c>
      <c r="Q559" s="33"/>
      <c r="R559" s="33"/>
      <c r="S559" s="33"/>
      <c r="T559" s="40">
        <f>IF(tblDonnées[[#This Row],[0,5% du dép]]&lt;5000,5000,IF(tblDonnées[[#This Row],[0,5% du dép]]&gt;50000,50000,tblDonnées[[#This Row],[0,5% du dép]]))</f>
        <v>5000</v>
      </c>
      <c r="U559" s="56">
        <f>ABS(tblDonnées[[#This Row],[MONTANT DEPASSEMENT]]*0.005)</f>
        <v>0</v>
      </c>
      <c r="V559" s="33"/>
      <c r="W559" s="33"/>
      <c r="X559" s="33"/>
      <c r="Y559" s="33"/>
      <c r="Z559" s="33"/>
    </row>
    <row r="560" spans="1:26" x14ac:dyDescent="0.25">
      <c r="A560" s="33"/>
      <c r="B560" s="33"/>
      <c r="C560" s="33"/>
      <c r="E560" s="53"/>
      <c r="G560" s="34"/>
      <c r="H560" s="33"/>
      <c r="I560" s="33"/>
      <c r="J560" s="42"/>
      <c r="K560" s="43"/>
      <c r="L560" s="44"/>
      <c r="M560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60" s="54">
        <f>tblDonnées[[#This Row],[MONTANT OPERATION]]+tblDonnées[[#This Row],[POS  FUSIONNEE CPTE AVANT OP]]</f>
        <v>0</v>
      </c>
      <c r="O560" s="38" t="str">
        <f>IF(ISBLANK(tblDonnées[[#This Row],[MONTANT AUTO]]), "N/A", ABS(tblDonnées[[#This Row],[POS  FUSIONNEE CPTE APRES OP]])-ABS(tblDonnées[[#This Row],[MONTANT AUTO]]))</f>
        <v>N/A</v>
      </c>
      <c r="P560" s="55" t="e">
        <f>tblDonnées[[#This Row],[DEPASSEMENT TOTAL SUR AUTO
]]/-tblDonnées[[#This Row],[MONTANT AUTO]]</f>
        <v>#VALUE!</v>
      </c>
      <c r="Q560" s="33"/>
      <c r="R560" s="33"/>
      <c r="S560" s="33"/>
      <c r="T560" s="40">
        <f>IF(tblDonnées[[#This Row],[0,5% du dép]]&lt;5000,5000,IF(tblDonnées[[#This Row],[0,5% du dép]]&gt;50000,50000,tblDonnées[[#This Row],[0,5% du dép]]))</f>
        <v>5000</v>
      </c>
      <c r="U560" s="56">
        <f>ABS(tblDonnées[[#This Row],[MONTANT DEPASSEMENT]]*0.005)</f>
        <v>0</v>
      </c>
      <c r="V560" s="33"/>
      <c r="W560" s="33"/>
      <c r="X560" s="33"/>
      <c r="Y560" s="33"/>
      <c r="Z560" s="33"/>
    </row>
    <row r="561" spans="1:26" x14ac:dyDescent="0.25">
      <c r="A561" s="33"/>
      <c r="B561" s="33"/>
      <c r="C561" s="33"/>
      <c r="E561" s="53"/>
      <c r="G561" s="34"/>
      <c r="H561" s="33"/>
      <c r="I561" s="33"/>
      <c r="J561" s="42"/>
      <c r="K561" s="43"/>
      <c r="L561" s="44"/>
      <c r="M561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61" s="54">
        <f>tblDonnées[[#This Row],[MONTANT OPERATION]]+tblDonnées[[#This Row],[POS  FUSIONNEE CPTE AVANT OP]]</f>
        <v>0</v>
      </c>
      <c r="O561" s="38" t="str">
        <f>IF(ISBLANK(tblDonnées[[#This Row],[MONTANT AUTO]]), "N/A", ABS(tblDonnées[[#This Row],[POS  FUSIONNEE CPTE APRES OP]])-ABS(tblDonnées[[#This Row],[MONTANT AUTO]]))</f>
        <v>N/A</v>
      </c>
      <c r="P561" s="55" t="e">
        <f>tblDonnées[[#This Row],[DEPASSEMENT TOTAL SUR AUTO
]]/-tblDonnées[[#This Row],[MONTANT AUTO]]</f>
        <v>#VALUE!</v>
      </c>
      <c r="Q561" s="33"/>
      <c r="R561" s="33"/>
      <c r="S561" s="33"/>
      <c r="T561" s="40">
        <f>IF(tblDonnées[[#This Row],[0,5% du dép]]&lt;5000,5000,IF(tblDonnées[[#This Row],[0,5% du dép]]&gt;50000,50000,tblDonnées[[#This Row],[0,5% du dép]]))</f>
        <v>5000</v>
      </c>
      <c r="U561" s="56">
        <f>ABS(tblDonnées[[#This Row],[MONTANT DEPASSEMENT]]*0.005)</f>
        <v>0</v>
      </c>
      <c r="V561" s="33"/>
      <c r="W561" s="33"/>
      <c r="X561" s="33"/>
      <c r="Y561" s="33"/>
      <c r="Z561" s="33"/>
    </row>
    <row r="562" spans="1:26" x14ac:dyDescent="0.25">
      <c r="A562" s="33"/>
      <c r="B562" s="33"/>
      <c r="C562" s="33"/>
      <c r="E562" s="53"/>
      <c r="G562" s="34"/>
      <c r="H562" s="33"/>
      <c r="I562" s="33"/>
      <c r="J562" s="42"/>
      <c r="K562" s="43"/>
      <c r="L562" s="44"/>
      <c r="M562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62" s="54">
        <f>tblDonnées[[#This Row],[MONTANT OPERATION]]+tblDonnées[[#This Row],[POS  FUSIONNEE CPTE AVANT OP]]</f>
        <v>0</v>
      </c>
      <c r="O562" s="38" t="str">
        <f>IF(ISBLANK(tblDonnées[[#This Row],[MONTANT AUTO]]), "N/A", ABS(tblDonnées[[#This Row],[POS  FUSIONNEE CPTE APRES OP]])-ABS(tblDonnées[[#This Row],[MONTANT AUTO]]))</f>
        <v>N/A</v>
      </c>
      <c r="P562" s="55" t="e">
        <f>tblDonnées[[#This Row],[DEPASSEMENT TOTAL SUR AUTO
]]/-tblDonnées[[#This Row],[MONTANT AUTO]]</f>
        <v>#VALUE!</v>
      </c>
      <c r="Q562" s="33"/>
      <c r="R562" s="33"/>
      <c r="S562" s="33"/>
      <c r="T562" s="40">
        <f>IF(tblDonnées[[#This Row],[0,5% du dép]]&lt;5000,5000,IF(tblDonnées[[#This Row],[0,5% du dép]]&gt;50000,50000,tblDonnées[[#This Row],[0,5% du dép]]))</f>
        <v>5000</v>
      </c>
      <c r="U562" s="56">
        <f>ABS(tblDonnées[[#This Row],[MONTANT DEPASSEMENT]]*0.005)</f>
        <v>0</v>
      </c>
      <c r="V562" s="33"/>
      <c r="W562" s="33"/>
      <c r="X562" s="33"/>
      <c r="Y562" s="33"/>
      <c r="Z562" s="33"/>
    </row>
    <row r="563" spans="1:26" x14ac:dyDescent="0.25">
      <c r="A563" s="33"/>
      <c r="B563" s="33"/>
      <c r="C563" s="33"/>
      <c r="E563" s="53"/>
      <c r="G563" s="34"/>
      <c r="H563" s="33"/>
      <c r="I563" s="33"/>
      <c r="J563" s="42"/>
      <c r="K563" s="43"/>
      <c r="L563" s="44"/>
      <c r="M563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63" s="54">
        <f>tblDonnées[[#This Row],[MONTANT OPERATION]]+tblDonnées[[#This Row],[POS  FUSIONNEE CPTE AVANT OP]]</f>
        <v>0</v>
      </c>
      <c r="O563" s="38" t="str">
        <f>IF(ISBLANK(tblDonnées[[#This Row],[MONTANT AUTO]]), "N/A", ABS(tblDonnées[[#This Row],[POS  FUSIONNEE CPTE APRES OP]])-ABS(tblDonnées[[#This Row],[MONTANT AUTO]]))</f>
        <v>N/A</v>
      </c>
      <c r="P563" s="55" t="e">
        <f>tblDonnées[[#This Row],[DEPASSEMENT TOTAL SUR AUTO
]]/-tblDonnées[[#This Row],[MONTANT AUTO]]</f>
        <v>#VALUE!</v>
      </c>
      <c r="Q563" s="33"/>
      <c r="R563" s="33"/>
      <c r="S563" s="33"/>
      <c r="T563" s="40">
        <f>IF(tblDonnées[[#This Row],[0,5% du dép]]&lt;5000,5000,IF(tblDonnées[[#This Row],[0,5% du dép]]&gt;50000,50000,tblDonnées[[#This Row],[0,5% du dép]]))</f>
        <v>5000</v>
      </c>
      <c r="U563" s="56">
        <f>ABS(tblDonnées[[#This Row],[MONTANT DEPASSEMENT]]*0.005)</f>
        <v>0</v>
      </c>
      <c r="V563" s="33"/>
      <c r="W563" s="33"/>
      <c r="X563" s="33"/>
      <c r="Y563" s="33"/>
      <c r="Z563" s="33"/>
    </row>
    <row r="564" spans="1:26" x14ac:dyDescent="0.25">
      <c r="A564" s="33"/>
      <c r="B564" s="33"/>
      <c r="C564" s="33"/>
      <c r="E564" s="53"/>
      <c r="G564" s="34"/>
      <c r="H564" s="33"/>
      <c r="I564" s="33"/>
      <c r="J564" s="42"/>
      <c r="K564" s="43"/>
      <c r="L564" s="44"/>
      <c r="M564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64" s="54">
        <f>tblDonnées[[#This Row],[MONTANT OPERATION]]+tblDonnées[[#This Row],[POS  FUSIONNEE CPTE AVANT OP]]</f>
        <v>0</v>
      </c>
      <c r="O564" s="38" t="str">
        <f>IF(ISBLANK(tblDonnées[[#This Row],[MONTANT AUTO]]), "N/A", ABS(tblDonnées[[#This Row],[POS  FUSIONNEE CPTE APRES OP]])-ABS(tblDonnées[[#This Row],[MONTANT AUTO]]))</f>
        <v>N/A</v>
      </c>
      <c r="P564" s="55" t="e">
        <f>tblDonnées[[#This Row],[DEPASSEMENT TOTAL SUR AUTO
]]/-tblDonnées[[#This Row],[MONTANT AUTO]]</f>
        <v>#VALUE!</v>
      </c>
      <c r="Q564" s="33"/>
      <c r="R564" s="33"/>
      <c r="S564" s="33"/>
      <c r="T564" s="40">
        <f>IF(tblDonnées[[#This Row],[0,5% du dép]]&lt;5000,5000,IF(tblDonnées[[#This Row],[0,5% du dép]]&gt;50000,50000,tblDonnées[[#This Row],[0,5% du dép]]))</f>
        <v>5000</v>
      </c>
      <c r="U564" s="56">
        <f>ABS(tblDonnées[[#This Row],[MONTANT DEPASSEMENT]]*0.005)</f>
        <v>0</v>
      </c>
      <c r="V564" s="33"/>
      <c r="W564" s="33"/>
      <c r="X564" s="33"/>
      <c r="Y564" s="33"/>
      <c r="Z564" s="33"/>
    </row>
    <row r="565" spans="1:26" x14ac:dyDescent="0.25">
      <c r="A565" s="33"/>
      <c r="B565" s="33"/>
      <c r="C565" s="33"/>
      <c r="E565" s="53"/>
      <c r="G565" s="34"/>
      <c r="H565" s="33"/>
      <c r="I565" s="33"/>
      <c r="J565" s="42"/>
      <c r="K565" s="43"/>
      <c r="L565" s="44"/>
      <c r="M565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65" s="54">
        <f>tblDonnées[[#This Row],[MONTANT OPERATION]]+tblDonnées[[#This Row],[POS  FUSIONNEE CPTE AVANT OP]]</f>
        <v>0</v>
      </c>
      <c r="O565" s="38" t="str">
        <f>IF(ISBLANK(tblDonnées[[#This Row],[MONTANT AUTO]]), "N/A", ABS(tblDonnées[[#This Row],[POS  FUSIONNEE CPTE APRES OP]])-ABS(tblDonnées[[#This Row],[MONTANT AUTO]]))</f>
        <v>N/A</v>
      </c>
      <c r="P565" s="55" t="e">
        <f>tblDonnées[[#This Row],[DEPASSEMENT TOTAL SUR AUTO
]]/-tblDonnées[[#This Row],[MONTANT AUTO]]</f>
        <v>#VALUE!</v>
      </c>
      <c r="Q565" s="33"/>
      <c r="R565" s="33"/>
      <c r="S565" s="33"/>
      <c r="T565" s="40">
        <f>IF(tblDonnées[[#This Row],[0,5% du dép]]&lt;5000,5000,IF(tblDonnées[[#This Row],[0,5% du dép]]&gt;50000,50000,tblDonnées[[#This Row],[0,5% du dép]]))</f>
        <v>5000</v>
      </c>
      <c r="U565" s="56">
        <f>ABS(tblDonnées[[#This Row],[MONTANT DEPASSEMENT]]*0.005)</f>
        <v>0</v>
      </c>
      <c r="V565" s="33"/>
      <c r="W565" s="33"/>
      <c r="X565" s="33"/>
      <c r="Y565" s="33"/>
      <c r="Z565" s="33"/>
    </row>
    <row r="566" spans="1:26" x14ac:dyDescent="0.25">
      <c r="A566" s="33"/>
      <c r="B566" s="33"/>
      <c r="C566" s="33"/>
      <c r="E566" s="53"/>
      <c r="G566" s="34"/>
      <c r="H566" s="33"/>
      <c r="I566" s="33"/>
      <c r="J566" s="42"/>
      <c r="K566" s="43"/>
      <c r="L566" s="44"/>
      <c r="M566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66" s="54">
        <f>tblDonnées[[#This Row],[MONTANT OPERATION]]+tblDonnées[[#This Row],[POS  FUSIONNEE CPTE AVANT OP]]</f>
        <v>0</v>
      </c>
      <c r="O566" s="38" t="str">
        <f>IF(ISBLANK(tblDonnées[[#This Row],[MONTANT AUTO]]), "N/A", ABS(tblDonnées[[#This Row],[POS  FUSIONNEE CPTE APRES OP]])-ABS(tblDonnées[[#This Row],[MONTANT AUTO]]))</f>
        <v>N/A</v>
      </c>
      <c r="P566" s="55" t="e">
        <f>tblDonnées[[#This Row],[DEPASSEMENT TOTAL SUR AUTO
]]/-tblDonnées[[#This Row],[MONTANT AUTO]]</f>
        <v>#VALUE!</v>
      </c>
      <c r="Q566" s="33"/>
      <c r="R566" s="33"/>
      <c r="S566" s="33"/>
      <c r="T566" s="40">
        <f>IF(tblDonnées[[#This Row],[0,5% du dép]]&lt;5000,5000,IF(tblDonnées[[#This Row],[0,5% du dép]]&gt;50000,50000,tblDonnées[[#This Row],[0,5% du dép]]))</f>
        <v>5000</v>
      </c>
      <c r="U566" s="56">
        <f>ABS(tblDonnées[[#This Row],[MONTANT DEPASSEMENT]]*0.005)</f>
        <v>0</v>
      </c>
      <c r="V566" s="33"/>
      <c r="W566" s="33"/>
      <c r="X566" s="33"/>
      <c r="Y566" s="33"/>
      <c r="Z566" s="33"/>
    </row>
    <row r="567" spans="1:26" x14ac:dyDescent="0.25">
      <c r="A567" s="33"/>
      <c r="B567" s="33"/>
      <c r="C567" s="33"/>
      <c r="E567" s="53"/>
      <c r="G567" s="34"/>
      <c r="H567" s="33"/>
      <c r="I567" s="33"/>
      <c r="J567" s="42"/>
      <c r="K567" s="43"/>
      <c r="L567" s="44"/>
      <c r="M567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67" s="54">
        <f>tblDonnées[[#This Row],[MONTANT OPERATION]]+tblDonnées[[#This Row],[POS  FUSIONNEE CPTE AVANT OP]]</f>
        <v>0</v>
      </c>
      <c r="O567" s="38" t="str">
        <f>IF(ISBLANK(tblDonnées[[#This Row],[MONTANT AUTO]]), "N/A", ABS(tblDonnées[[#This Row],[POS  FUSIONNEE CPTE APRES OP]])-ABS(tblDonnées[[#This Row],[MONTANT AUTO]]))</f>
        <v>N/A</v>
      </c>
      <c r="P567" s="55" t="e">
        <f>tblDonnées[[#This Row],[DEPASSEMENT TOTAL SUR AUTO
]]/-tblDonnées[[#This Row],[MONTANT AUTO]]</f>
        <v>#VALUE!</v>
      </c>
      <c r="Q567" s="33"/>
      <c r="R567" s="33"/>
      <c r="S567" s="33"/>
      <c r="T567" s="40">
        <f>IF(tblDonnées[[#This Row],[0,5% du dép]]&lt;5000,5000,IF(tblDonnées[[#This Row],[0,5% du dép]]&gt;50000,50000,tblDonnées[[#This Row],[0,5% du dép]]))</f>
        <v>5000</v>
      </c>
      <c r="U567" s="56">
        <f>ABS(tblDonnées[[#This Row],[MONTANT DEPASSEMENT]]*0.005)</f>
        <v>0</v>
      </c>
      <c r="V567" s="33"/>
      <c r="W567" s="33"/>
      <c r="X567" s="33"/>
      <c r="Y567" s="33"/>
      <c r="Z567" s="33"/>
    </row>
    <row r="568" spans="1:26" x14ac:dyDescent="0.25">
      <c r="A568" s="33"/>
      <c r="B568" s="33"/>
      <c r="C568" s="33"/>
      <c r="E568" s="53"/>
      <c r="G568" s="34"/>
      <c r="H568" s="33"/>
      <c r="I568" s="33"/>
      <c r="J568" s="42"/>
      <c r="K568" s="43"/>
      <c r="L568" s="44"/>
      <c r="M568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68" s="54">
        <f>tblDonnées[[#This Row],[MONTANT OPERATION]]+tblDonnées[[#This Row],[POS  FUSIONNEE CPTE AVANT OP]]</f>
        <v>0</v>
      </c>
      <c r="O568" s="38" t="str">
        <f>IF(ISBLANK(tblDonnées[[#This Row],[MONTANT AUTO]]), "N/A", ABS(tblDonnées[[#This Row],[POS  FUSIONNEE CPTE APRES OP]])-ABS(tblDonnées[[#This Row],[MONTANT AUTO]]))</f>
        <v>N/A</v>
      </c>
      <c r="P568" s="55" t="e">
        <f>tblDonnées[[#This Row],[DEPASSEMENT TOTAL SUR AUTO
]]/-tblDonnées[[#This Row],[MONTANT AUTO]]</f>
        <v>#VALUE!</v>
      </c>
      <c r="Q568" s="33"/>
      <c r="R568" s="33"/>
      <c r="S568" s="33"/>
      <c r="T568" s="40">
        <f>IF(tblDonnées[[#This Row],[0,5% du dép]]&lt;5000,5000,IF(tblDonnées[[#This Row],[0,5% du dép]]&gt;50000,50000,tblDonnées[[#This Row],[0,5% du dép]]))</f>
        <v>5000</v>
      </c>
      <c r="U568" s="56">
        <f>ABS(tblDonnées[[#This Row],[MONTANT DEPASSEMENT]]*0.005)</f>
        <v>0</v>
      </c>
      <c r="V568" s="33"/>
      <c r="W568" s="33"/>
      <c r="X568" s="33"/>
      <c r="Y568" s="33"/>
      <c r="Z568" s="33"/>
    </row>
    <row r="569" spans="1:26" x14ac:dyDescent="0.25">
      <c r="A569" s="33"/>
      <c r="B569" s="33"/>
      <c r="C569" s="33"/>
      <c r="E569" s="53"/>
      <c r="G569" s="34"/>
      <c r="H569" s="33"/>
      <c r="I569" s="33"/>
      <c r="J569" s="42"/>
      <c r="K569" s="43"/>
      <c r="L569" s="44"/>
      <c r="M569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69" s="54">
        <f>tblDonnées[[#This Row],[MONTANT OPERATION]]+tblDonnées[[#This Row],[POS  FUSIONNEE CPTE AVANT OP]]</f>
        <v>0</v>
      </c>
      <c r="O569" s="38" t="str">
        <f>IF(ISBLANK(tblDonnées[[#This Row],[MONTANT AUTO]]), "N/A", ABS(tblDonnées[[#This Row],[POS  FUSIONNEE CPTE APRES OP]])-ABS(tblDonnées[[#This Row],[MONTANT AUTO]]))</f>
        <v>N/A</v>
      </c>
      <c r="P569" s="55" t="e">
        <f>tblDonnées[[#This Row],[DEPASSEMENT TOTAL SUR AUTO
]]/-tblDonnées[[#This Row],[MONTANT AUTO]]</f>
        <v>#VALUE!</v>
      </c>
      <c r="Q569" s="33"/>
      <c r="R569" s="33"/>
      <c r="S569" s="33"/>
      <c r="T569" s="40">
        <f>IF(tblDonnées[[#This Row],[0,5% du dép]]&lt;5000,5000,IF(tblDonnées[[#This Row],[0,5% du dép]]&gt;50000,50000,tblDonnées[[#This Row],[0,5% du dép]]))</f>
        <v>5000</v>
      </c>
      <c r="U569" s="56">
        <f>ABS(tblDonnées[[#This Row],[MONTANT DEPASSEMENT]]*0.005)</f>
        <v>0</v>
      </c>
      <c r="V569" s="33"/>
      <c r="W569" s="33"/>
      <c r="X569" s="33"/>
      <c r="Y569" s="33"/>
      <c r="Z569" s="33"/>
    </row>
    <row r="570" spans="1:26" x14ac:dyDescent="0.25">
      <c r="A570" s="33"/>
      <c r="B570" s="33"/>
      <c r="C570" s="33"/>
      <c r="E570" s="53"/>
      <c r="G570" s="34"/>
      <c r="H570" s="33"/>
      <c r="I570" s="33"/>
      <c r="J570" s="42"/>
      <c r="K570" s="43"/>
      <c r="L570" s="44"/>
      <c r="M570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70" s="54">
        <f>tblDonnées[[#This Row],[MONTANT OPERATION]]+tblDonnées[[#This Row],[POS  FUSIONNEE CPTE AVANT OP]]</f>
        <v>0</v>
      </c>
      <c r="O570" s="38" t="str">
        <f>IF(ISBLANK(tblDonnées[[#This Row],[MONTANT AUTO]]), "N/A", ABS(tblDonnées[[#This Row],[POS  FUSIONNEE CPTE APRES OP]])-ABS(tblDonnées[[#This Row],[MONTANT AUTO]]))</f>
        <v>N/A</v>
      </c>
      <c r="P570" s="55" t="e">
        <f>tblDonnées[[#This Row],[DEPASSEMENT TOTAL SUR AUTO
]]/-tblDonnées[[#This Row],[MONTANT AUTO]]</f>
        <v>#VALUE!</v>
      </c>
      <c r="Q570" s="33"/>
      <c r="R570" s="33"/>
      <c r="S570" s="33"/>
      <c r="T570" s="40">
        <f>IF(tblDonnées[[#This Row],[0,5% du dép]]&lt;5000,5000,IF(tblDonnées[[#This Row],[0,5% du dép]]&gt;50000,50000,tblDonnées[[#This Row],[0,5% du dép]]))</f>
        <v>5000</v>
      </c>
      <c r="U570" s="56">
        <f>ABS(tblDonnées[[#This Row],[MONTANT DEPASSEMENT]]*0.005)</f>
        <v>0</v>
      </c>
      <c r="V570" s="33"/>
      <c r="W570" s="33"/>
      <c r="X570" s="33"/>
      <c r="Y570" s="33"/>
      <c r="Z570" s="33"/>
    </row>
    <row r="571" spans="1:26" x14ac:dyDescent="0.25">
      <c r="A571" s="33"/>
      <c r="B571" s="33"/>
      <c r="C571" s="33"/>
      <c r="E571" s="53"/>
      <c r="G571" s="34"/>
      <c r="H571" s="33"/>
      <c r="I571" s="33"/>
      <c r="J571" s="42"/>
      <c r="K571" s="43"/>
      <c r="L571" s="44"/>
      <c r="M571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71" s="54">
        <f>tblDonnées[[#This Row],[MONTANT OPERATION]]+tblDonnées[[#This Row],[POS  FUSIONNEE CPTE AVANT OP]]</f>
        <v>0</v>
      </c>
      <c r="O571" s="38" t="str">
        <f>IF(ISBLANK(tblDonnées[[#This Row],[MONTANT AUTO]]), "N/A", ABS(tblDonnées[[#This Row],[POS  FUSIONNEE CPTE APRES OP]])-ABS(tblDonnées[[#This Row],[MONTANT AUTO]]))</f>
        <v>N/A</v>
      </c>
      <c r="P571" s="55" t="e">
        <f>tblDonnées[[#This Row],[DEPASSEMENT TOTAL SUR AUTO
]]/-tblDonnées[[#This Row],[MONTANT AUTO]]</f>
        <v>#VALUE!</v>
      </c>
      <c r="Q571" s="33"/>
      <c r="R571" s="33"/>
      <c r="S571" s="33"/>
      <c r="T571" s="40">
        <f>IF(tblDonnées[[#This Row],[0,5% du dép]]&lt;5000,5000,IF(tblDonnées[[#This Row],[0,5% du dép]]&gt;50000,50000,tblDonnées[[#This Row],[0,5% du dép]]))</f>
        <v>5000</v>
      </c>
      <c r="U571" s="56">
        <f>ABS(tblDonnées[[#This Row],[MONTANT DEPASSEMENT]]*0.005)</f>
        <v>0</v>
      </c>
      <c r="V571" s="33"/>
      <c r="W571" s="33"/>
      <c r="X571" s="33"/>
      <c r="Y571" s="33"/>
      <c r="Z571" s="33"/>
    </row>
    <row r="572" spans="1:26" x14ac:dyDescent="0.25">
      <c r="A572" s="33"/>
      <c r="B572" s="33"/>
      <c r="C572" s="33"/>
      <c r="E572" s="53"/>
      <c r="G572" s="34"/>
      <c r="H572" s="33"/>
      <c r="I572" s="33"/>
      <c r="J572" s="42"/>
      <c r="K572" s="43"/>
      <c r="L572" s="44"/>
      <c r="M572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72" s="54">
        <f>tblDonnées[[#This Row],[MONTANT OPERATION]]+tblDonnées[[#This Row],[POS  FUSIONNEE CPTE AVANT OP]]</f>
        <v>0</v>
      </c>
      <c r="O572" s="38" t="str">
        <f>IF(ISBLANK(tblDonnées[[#This Row],[MONTANT AUTO]]), "N/A", ABS(tblDonnées[[#This Row],[POS  FUSIONNEE CPTE APRES OP]])-ABS(tblDonnées[[#This Row],[MONTANT AUTO]]))</f>
        <v>N/A</v>
      </c>
      <c r="P572" s="55" t="e">
        <f>tblDonnées[[#This Row],[DEPASSEMENT TOTAL SUR AUTO
]]/-tblDonnées[[#This Row],[MONTANT AUTO]]</f>
        <v>#VALUE!</v>
      </c>
      <c r="Q572" s="33"/>
      <c r="R572" s="33"/>
      <c r="S572" s="33"/>
      <c r="T572" s="40">
        <f>IF(tblDonnées[[#This Row],[0,5% du dép]]&lt;5000,5000,IF(tblDonnées[[#This Row],[0,5% du dép]]&gt;50000,50000,tblDonnées[[#This Row],[0,5% du dép]]))</f>
        <v>5000</v>
      </c>
      <c r="U572" s="56">
        <f>ABS(tblDonnées[[#This Row],[MONTANT DEPASSEMENT]]*0.005)</f>
        <v>0</v>
      </c>
      <c r="V572" s="33"/>
      <c r="W572" s="33"/>
      <c r="X572" s="33"/>
      <c r="Y572" s="33"/>
      <c r="Z572" s="33"/>
    </row>
    <row r="573" spans="1:26" x14ac:dyDescent="0.25">
      <c r="A573" s="33"/>
      <c r="B573" s="33"/>
      <c r="C573" s="33"/>
      <c r="E573" s="53"/>
      <c r="G573" s="34"/>
      <c r="H573" s="33"/>
      <c r="I573" s="33"/>
      <c r="J573" s="42"/>
      <c r="K573" s="43"/>
      <c r="L573" s="44"/>
      <c r="M573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73" s="54">
        <f>tblDonnées[[#This Row],[MONTANT OPERATION]]+tblDonnées[[#This Row],[POS  FUSIONNEE CPTE AVANT OP]]</f>
        <v>0</v>
      </c>
      <c r="O573" s="38" t="str">
        <f>IF(ISBLANK(tblDonnées[[#This Row],[MONTANT AUTO]]), "N/A", ABS(tblDonnées[[#This Row],[POS  FUSIONNEE CPTE APRES OP]])-ABS(tblDonnées[[#This Row],[MONTANT AUTO]]))</f>
        <v>N/A</v>
      </c>
      <c r="P573" s="55" t="e">
        <f>tblDonnées[[#This Row],[DEPASSEMENT TOTAL SUR AUTO
]]/-tblDonnées[[#This Row],[MONTANT AUTO]]</f>
        <v>#VALUE!</v>
      </c>
      <c r="Q573" s="33"/>
      <c r="R573" s="33"/>
      <c r="S573" s="33"/>
      <c r="T573" s="40">
        <f>IF(tblDonnées[[#This Row],[0,5% du dép]]&lt;5000,5000,IF(tblDonnées[[#This Row],[0,5% du dép]]&gt;50000,50000,tblDonnées[[#This Row],[0,5% du dép]]))</f>
        <v>5000</v>
      </c>
      <c r="U573" s="56">
        <f>ABS(tblDonnées[[#This Row],[MONTANT DEPASSEMENT]]*0.005)</f>
        <v>0</v>
      </c>
      <c r="V573" s="33"/>
      <c r="W573" s="33"/>
      <c r="X573" s="33"/>
      <c r="Y573" s="33"/>
      <c r="Z573" s="33"/>
    </row>
    <row r="574" spans="1:26" x14ac:dyDescent="0.25">
      <c r="A574" s="33"/>
      <c r="B574" s="33"/>
      <c r="C574" s="33"/>
      <c r="E574" s="53"/>
      <c r="G574" s="34"/>
      <c r="H574" s="33"/>
      <c r="I574" s="33"/>
      <c r="J574" s="42"/>
      <c r="K574" s="43"/>
      <c r="L574" s="44"/>
      <c r="M574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74" s="54">
        <f>tblDonnées[[#This Row],[MONTANT OPERATION]]+tblDonnées[[#This Row],[POS  FUSIONNEE CPTE AVANT OP]]</f>
        <v>0</v>
      </c>
      <c r="O574" s="38" t="str">
        <f>IF(ISBLANK(tblDonnées[[#This Row],[MONTANT AUTO]]), "N/A", ABS(tblDonnées[[#This Row],[POS  FUSIONNEE CPTE APRES OP]])-ABS(tblDonnées[[#This Row],[MONTANT AUTO]]))</f>
        <v>N/A</v>
      </c>
      <c r="P574" s="55" t="e">
        <f>tblDonnées[[#This Row],[DEPASSEMENT TOTAL SUR AUTO
]]/-tblDonnées[[#This Row],[MONTANT AUTO]]</f>
        <v>#VALUE!</v>
      </c>
      <c r="Q574" s="33"/>
      <c r="R574" s="33"/>
      <c r="S574" s="33"/>
      <c r="T574" s="40">
        <f>IF(tblDonnées[[#This Row],[0,5% du dép]]&lt;5000,5000,IF(tblDonnées[[#This Row],[0,5% du dép]]&gt;50000,50000,tblDonnées[[#This Row],[0,5% du dép]]))</f>
        <v>5000</v>
      </c>
      <c r="U574" s="56">
        <f>ABS(tblDonnées[[#This Row],[MONTANT DEPASSEMENT]]*0.005)</f>
        <v>0</v>
      </c>
      <c r="V574" s="33"/>
      <c r="W574" s="33"/>
      <c r="X574" s="33"/>
      <c r="Y574" s="33"/>
      <c r="Z574" s="33"/>
    </row>
    <row r="575" spans="1:26" x14ac:dyDescent="0.25">
      <c r="A575" s="33"/>
      <c r="B575" s="33"/>
      <c r="C575" s="33"/>
      <c r="E575" s="53"/>
      <c r="G575" s="34"/>
      <c r="H575" s="33"/>
      <c r="I575" s="33"/>
      <c r="J575" s="42"/>
      <c r="K575" s="43"/>
      <c r="L575" s="44"/>
      <c r="M575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75" s="54">
        <f>tblDonnées[[#This Row],[MONTANT OPERATION]]+tblDonnées[[#This Row],[POS  FUSIONNEE CPTE AVANT OP]]</f>
        <v>0</v>
      </c>
      <c r="O575" s="38" t="str">
        <f>IF(ISBLANK(tblDonnées[[#This Row],[MONTANT AUTO]]), "N/A", ABS(tblDonnées[[#This Row],[POS  FUSIONNEE CPTE APRES OP]])-ABS(tblDonnées[[#This Row],[MONTANT AUTO]]))</f>
        <v>N/A</v>
      </c>
      <c r="P575" s="55" t="e">
        <f>tblDonnées[[#This Row],[DEPASSEMENT TOTAL SUR AUTO
]]/-tblDonnées[[#This Row],[MONTANT AUTO]]</f>
        <v>#VALUE!</v>
      </c>
      <c r="Q575" s="33"/>
      <c r="R575" s="33"/>
      <c r="S575" s="33"/>
      <c r="T575" s="40">
        <f>IF(tblDonnées[[#This Row],[0,5% du dép]]&lt;5000,5000,IF(tblDonnées[[#This Row],[0,5% du dép]]&gt;50000,50000,tblDonnées[[#This Row],[0,5% du dép]]))</f>
        <v>5000</v>
      </c>
      <c r="U575" s="56">
        <f>ABS(tblDonnées[[#This Row],[MONTANT DEPASSEMENT]]*0.005)</f>
        <v>0</v>
      </c>
      <c r="V575" s="33"/>
      <c r="W575" s="33"/>
      <c r="X575" s="33"/>
      <c r="Y575" s="33"/>
      <c r="Z575" s="33"/>
    </row>
    <row r="576" spans="1:26" x14ac:dyDescent="0.25">
      <c r="A576" s="33"/>
      <c r="B576" s="33"/>
      <c r="C576" s="33"/>
      <c r="E576" s="53"/>
      <c r="G576" s="34"/>
      <c r="H576" s="33"/>
      <c r="I576" s="33"/>
      <c r="J576" s="42"/>
      <c r="K576" s="43"/>
      <c r="L576" s="44"/>
      <c r="M576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76" s="54">
        <f>tblDonnées[[#This Row],[MONTANT OPERATION]]+tblDonnées[[#This Row],[POS  FUSIONNEE CPTE AVANT OP]]</f>
        <v>0</v>
      </c>
      <c r="O576" s="38" t="str">
        <f>IF(ISBLANK(tblDonnées[[#This Row],[MONTANT AUTO]]), "N/A", ABS(tblDonnées[[#This Row],[POS  FUSIONNEE CPTE APRES OP]])-ABS(tblDonnées[[#This Row],[MONTANT AUTO]]))</f>
        <v>N/A</v>
      </c>
      <c r="P576" s="55" t="e">
        <f>tblDonnées[[#This Row],[DEPASSEMENT TOTAL SUR AUTO
]]/-tblDonnées[[#This Row],[MONTANT AUTO]]</f>
        <v>#VALUE!</v>
      </c>
      <c r="Q576" s="33"/>
      <c r="R576" s="33"/>
      <c r="S576" s="33"/>
      <c r="T576" s="40">
        <f>IF(tblDonnées[[#This Row],[0,5% du dép]]&lt;5000,5000,IF(tblDonnées[[#This Row],[0,5% du dép]]&gt;50000,50000,tblDonnées[[#This Row],[0,5% du dép]]))</f>
        <v>5000</v>
      </c>
      <c r="U576" s="56">
        <f>ABS(tblDonnées[[#This Row],[MONTANT DEPASSEMENT]]*0.005)</f>
        <v>0</v>
      </c>
      <c r="V576" s="33"/>
      <c r="W576" s="33"/>
      <c r="X576" s="33"/>
      <c r="Y576" s="33"/>
      <c r="Z576" s="33"/>
    </row>
    <row r="577" spans="1:26" x14ac:dyDescent="0.25">
      <c r="A577" s="33"/>
      <c r="B577" s="33"/>
      <c r="C577" s="33"/>
      <c r="E577" s="53"/>
      <c r="G577" s="34"/>
      <c r="H577" s="33"/>
      <c r="I577" s="33"/>
      <c r="J577" s="42"/>
      <c r="K577" s="43"/>
      <c r="L577" s="44"/>
      <c r="M577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77" s="54">
        <f>tblDonnées[[#This Row],[MONTANT OPERATION]]+tblDonnées[[#This Row],[POS  FUSIONNEE CPTE AVANT OP]]</f>
        <v>0</v>
      </c>
      <c r="O577" s="38" t="str">
        <f>IF(ISBLANK(tblDonnées[[#This Row],[MONTANT AUTO]]), "N/A", ABS(tblDonnées[[#This Row],[POS  FUSIONNEE CPTE APRES OP]])-ABS(tblDonnées[[#This Row],[MONTANT AUTO]]))</f>
        <v>N/A</v>
      </c>
      <c r="P577" s="55" t="e">
        <f>tblDonnées[[#This Row],[DEPASSEMENT TOTAL SUR AUTO
]]/-tblDonnées[[#This Row],[MONTANT AUTO]]</f>
        <v>#VALUE!</v>
      </c>
      <c r="Q577" s="33"/>
      <c r="R577" s="33"/>
      <c r="S577" s="33"/>
      <c r="T577" s="40">
        <f>IF(tblDonnées[[#This Row],[0,5% du dép]]&lt;5000,5000,IF(tblDonnées[[#This Row],[0,5% du dép]]&gt;50000,50000,tblDonnées[[#This Row],[0,5% du dép]]))</f>
        <v>5000</v>
      </c>
      <c r="U577" s="56">
        <f>ABS(tblDonnées[[#This Row],[MONTANT DEPASSEMENT]]*0.005)</f>
        <v>0</v>
      </c>
      <c r="V577" s="33"/>
      <c r="W577" s="33"/>
      <c r="X577" s="33"/>
      <c r="Y577" s="33"/>
      <c r="Z577" s="33"/>
    </row>
    <row r="578" spans="1:26" x14ac:dyDescent="0.25">
      <c r="A578" s="33"/>
      <c r="B578" s="33"/>
      <c r="C578" s="33"/>
      <c r="E578" s="53"/>
      <c r="G578" s="34"/>
      <c r="H578" s="33"/>
      <c r="I578" s="33"/>
      <c r="J578" s="42"/>
      <c r="K578" s="43"/>
      <c r="L578" s="44"/>
      <c r="M578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78" s="54">
        <f>tblDonnées[[#This Row],[MONTANT OPERATION]]+tblDonnées[[#This Row],[POS  FUSIONNEE CPTE AVANT OP]]</f>
        <v>0</v>
      </c>
      <c r="O578" s="38" t="str">
        <f>IF(ISBLANK(tblDonnées[[#This Row],[MONTANT AUTO]]), "N/A", ABS(tblDonnées[[#This Row],[POS  FUSIONNEE CPTE APRES OP]])-ABS(tblDonnées[[#This Row],[MONTANT AUTO]]))</f>
        <v>N/A</v>
      </c>
      <c r="P578" s="55" t="e">
        <f>tblDonnées[[#This Row],[DEPASSEMENT TOTAL SUR AUTO
]]/-tblDonnées[[#This Row],[MONTANT AUTO]]</f>
        <v>#VALUE!</v>
      </c>
      <c r="Q578" s="33"/>
      <c r="R578" s="33"/>
      <c r="S578" s="33"/>
      <c r="T578" s="40">
        <f>IF(tblDonnées[[#This Row],[0,5% du dép]]&lt;5000,5000,IF(tblDonnées[[#This Row],[0,5% du dép]]&gt;50000,50000,tblDonnées[[#This Row],[0,5% du dép]]))</f>
        <v>5000</v>
      </c>
      <c r="U578" s="56">
        <f>ABS(tblDonnées[[#This Row],[MONTANT DEPASSEMENT]]*0.005)</f>
        <v>0</v>
      </c>
      <c r="V578" s="33"/>
      <c r="W578" s="33"/>
      <c r="X578" s="33"/>
      <c r="Y578" s="33"/>
      <c r="Z578" s="33"/>
    </row>
    <row r="579" spans="1:26" x14ac:dyDescent="0.25">
      <c r="A579" s="33"/>
      <c r="B579" s="33"/>
      <c r="C579" s="33"/>
      <c r="E579" s="53"/>
      <c r="G579" s="34"/>
      <c r="H579" s="33"/>
      <c r="I579" s="33"/>
      <c r="J579" s="42"/>
      <c r="K579" s="43"/>
      <c r="L579" s="44"/>
      <c r="M579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79" s="54">
        <f>tblDonnées[[#This Row],[MONTANT OPERATION]]+tblDonnées[[#This Row],[POS  FUSIONNEE CPTE AVANT OP]]</f>
        <v>0</v>
      </c>
      <c r="O579" s="38" t="str">
        <f>IF(ISBLANK(tblDonnées[[#This Row],[MONTANT AUTO]]), "N/A", ABS(tblDonnées[[#This Row],[POS  FUSIONNEE CPTE APRES OP]])-ABS(tblDonnées[[#This Row],[MONTANT AUTO]]))</f>
        <v>N/A</v>
      </c>
      <c r="P579" s="55" t="e">
        <f>tblDonnées[[#This Row],[DEPASSEMENT TOTAL SUR AUTO
]]/-tblDonnées[[#This Row],[MONTANT AUTO]]</f>
        <v>#VALUE!</v>
      </c>
      <c r="Q579" s="33"/>
      <c r="R579" s="33"/>
      <c r="S579" s="33"/>
      <c r="T579" s="40">
        <f>IF(tblDonnées[[#This Row],[0,5% du dép]]&lt;5000,5000,IF(tblDonnées[[#This Row],[0,5% du dép]]&gt;50000,50000,tblDonnées[[#This Row],[0,5% du dép]]))</f>
        <v>5000</v>
      </c>
      <c r="U579" s="56">
        <f>ABS(tblDonnées[[#This Row],[MONTANT DEPASSEMENT]]*0.005)</f>
        <v>0</v>
      </c>
      <c r="V579" s="33"/>
      <c r="W579" s="33"/>
      <c r="X579" s="33"/>
      <c r="Y579" s="33"/>
      <c r="Z579" s="33"/>
    </row>
    <row r="580" spans="1:26" x14ac:dyDescent="0.25">
      <c r="A580" s="33"/>
      <c r="B580" s="33"/>
      <c r="C580" s="33"/>
      <c r="E580" s="53"/>
      <c r="G580" s="34"/>
      <c r="H580" s="33"/>
      <c r="I580" s="33"/>
      <c r="J580" s="42"/>
      <c r="K580" s="43"/>
      <c r="L580" s="44"/>
      <c r="M580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80" s="54">
        <f>tblDonnées[[#This Row],[MONTANT OPERATION]]+tblDonnées[[#This Row],[POS  FUSIONNEE CPTE AVANT OP]]</f>
        <v>0</v>
      </c>
      <c r="O580" s="38" t="str">
        <f>IF(ISBLANK(tblDonnées[[#This Row],[MONTANT AUTO]]), "N/A", ABS(tblDonnées[[#This Row],[POS  FUSIONNEE CPTE APRES OP]])-ABS(tblDonnées[[#This Row],[MONTANT AUTO]]))</f>
        <v>N/A</v>
      </c>
      <c r="P580" s="55" t="e">
        <f>tblDonnées[[#This Row],[DEPASSEMENT TOTAL SUR AUTO
]]/-tblDonnées[[#This Row],[MONTANT AUTO]]</f>
        <v>#VALUE!</v>
      </c>
      <c r="Q580" s="33"/>
      <c r="R580" s="33"/>
      <c r="S580" s="33"/>
      <c r="T580" s="40">
        <f>IF(tblDonnées[[#This Row],[0,5% du dép]]&lt;5000,5000,IF(tblDonnées[[#This Row],[0,5% du dép]]&gt;50000,50000,tblDonnées[[#This Row],[0,5% du dép]]))</f>
        <v>5000</v>
      </c>
      <c r="U580" s="56">
        <f>ABS(tblDonnées[[#This Row],[MONTANT DEPASSEMENT]]*0.005)</f>
        <v>0</v>
      </c>
      <c r="V580" s="33"/>
      <c r="W580" s="33"/>
      <c r="X580" s="33"/>
      <c r="Y580" s="33"/>
      <c r="Z580" s="33"/>
    </row>
    <row r="581" spans="1:26" x14ac:dyDescent="0.25">
      <c r="A581" s="33"/>
      <c r="B581" s="33"/>
      <c r="C581" s="33"/>
      <c r="E581" s="53"/>
      <c r="G581" s="34"/>
      <c r="H581" s="33"/>
      <c r="I581" s="33"/>
      <c r="J581" s="42"/>
      <c r="K581" s="43"/>
      <c r="L581" s="44"/>
      <c r="M581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81" s="54">
        <f>tblDonnées[[#This Row],[MONTANT OPERATION]]+tblDonnées[[#This Row],[POS  FUSIONNEE CPTE AVANT OP]]</f>
        <v>0</v>
      </c>
      <c r="O581" s="38" t="str">
        <f>IF(ISBLANK(tblDonnées[[#This Row],[MONTANT AUTO]]), "N/A", ABS(tblDonnées[[#This Row],[POS  FUSIONNEE CPTE APRES OP]])-ABS(tblDonnées[[#This Row],[MONTANT AUTO]]))</f>
        <v>N/A</v>
      </c>
      <c r="P581" s="55" t="e">
        <f>tblDonnées[[#This Row],[DEPASSEMENT TOTAL SUR AUTO
]]/-tblDonnées[[#This Row],[MONTANT AUTO]]</f>
        <v>#VALUE!</v>
      </c>
      <c r="Q581" s="33"/>
      <c r="R581" s="33"/>
      <c r="S581" s="33"/>
      <c r="T581" s="40">
        <f>IF(tblDonnées[[#This Row],[0,5% du dép]]&lt;5000,5000,IF(tblDonnées[[#This Row],[0,5% du dép]]&gt;50000,50000,tblDonnées[[#This Row],[0,5% du dép]]))</f>
        <v>5000</v>
      </c>
      <c r="U581" s="56">
        <f>ABS(tblDonnées[[#This Row],[MONTANT DEPASSEMENT]]*0.005)</f>
        <v>0</v>
      </c>
      <c r="V581" s="33"/>
      <c r="W581" s="33"/>
      <c r="X581" s="33"/>
      <c r="Y581" s="33"/>
      <c r="Z581" s="33"/>
    </row>
    <row r="582" spans="1:26" x14ac:dyDescent="0.25">
      <c r="A582" s="33"/>
      <c r="B582" s="33"/>
      <c r="C582" s="33"/>
      <c r="E582" s="53"/>
      <c r="G582" s="34"/>
      <c r="H582" s="33"/>
      <c r="I582" s="33"/>
      <c r="J582" s="42"/>
      <c r="K582" s="43"/>
      <c r="L582" s="44"/>
      <c r="M582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82" s="54">
        <f>tblDonnées[[#This Row],[MONTANT OPERATION]]+tblDonnées[[#This Row],[POS  FUSIONNEE CPTE AVANT OP]]</f>
        <v>0</v>
      </c>
      <c r="O582" s="38" t="str">
        <f>IF(ISBLANK(tblDonnées[[#This Row],[MONTANT AUTO]]), "N/A", ABS(tblDonnées[[#This Row],[POS  FUSIONNEE CPTE APRES OP]])-ABS(tblDonnées[[#This Row],[MONTANT AUTO]]))</f>
        <v>N/A</v>
      </c>
      <c r="P582" s="55" t="e">
        <f>tblDonnées[[#This Row],[DEPASSEMENT TOTAL SUR AUTO
]]/-tblDonnées[[#This Row],[MONTANT AUTO]]</f>
        <v>#VALUE!</v>
      </c>
      <c r="Q582" s="33"/>
      <c r="R582" s="33"/>
      <c r="S582" s="33"/>
      <c r="T582" s="40">
        <f>IF(tblDonnées[[#This Row],[0,5% du dép]]&lt;5000,5000,IF(tblDonnées[[#This Row],[0,5% du dép]]&gt;50000,50000,tblDonnées[[#This Row],[0,5% du dép]]))</f>
        <v>5000</v>
      </c>
      <c r="U582" s="56">
        <f>ABS(tblDonnées[[#This Row],[MONTANT DEPASSEMENT]]*0.005)</f>
        <v>0</v>
      </c>
      <c r="V582" s="33"/>
      <c r="W582" s="33"/>
      <c r="X582" s="33"/>
      <c r="Y582" s="33"/>
      <c r="Z582" s="33"/>
    </row>
    <row r="583" spans="1:26" x14ac:dyDescent="0.25">
      <c r="A583" s="33"/>
      <c r="B583" s="33"/>
      <c r="C583" s="33"/>
      <c r="E583" s="53"/>
      <c r="G583" s="34"/>
      <c r="H583" s="33"/>
      <c r="I583" s="33"/>
      <c r="J583" s="42"/>
      <c r="K583" s="43"/>
      <c r="L583" s="44"/>
      <c r="M583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83" s="54">
        <f>tblDonnées[[#This Row],[MONTANT OPERATION]]+tblDonnées[[#This Row],[POS  FUSIONNEE CPTE AVANT OP]]</f>
        <v>0</v>
      </c>
      <c r="O583" s="38" t="str">
        <f>IF(ISBLANK(tblDonnées[[#This Row],[MONTANT AUTO]]), "N/A", ABS(tblDonnées[[#This Row],[POS  FUSIONNEE CPTE APRES OP]])-ABS(tblDonnées[[#This Row],[MONTANT AUTO]]))</f>
        <v>N/A</v>
      </c>
      <c r="P583" s="55" t="e">
        <f>tblDonnées[[#This Row],[DEPASSEMENT TOTAL SUR AUTO
]]/-tblDonnées[[#This Row],[MONTANT AUTO]]</f>
        <v>#VALUE!</v>
      </c>
      <c r="Q583" s="33"/>
      <c r="R583" s="33"/>
      <c r="S583" s="33"/>
      <c r="T583" s="40">
        <f>IF(tblDonnées[[#This Row],[0,5% du dép]]&lt;5000,5000,IF(tblDonnées[[#This Row],[0,5% du dép]]&gt;50000,50000,tblDonnées[[#This Row],[0,5% du dép]]))</f>
        <v>5000</v>
      </c>
      <c r="U583" s="56">
        <f>ABS(tblDonnées[[#This Row],[MONTANT DEPASSEMENT]]*0.005)</f>
        <v>0</v>
      </c>
      <c r="V583" s="33"/>
      <c r="W583" s="33"/>
      <c r="X583" s="33"/>
      <c r="Y583" s="33"/>
      <c r="Z583" s="33"/>
    </row>
    <row r="584" spans="1:26" x14ac:dyDescent="0.25">
      <c r="A584" s="33"/>
      <c r="B584" s="33"/>
      <c r="C584" s="33"/>
      <c r="E584" s="53"/>
      <c r="G584" s="34"/>
      <c r="H584" s="33"/>
      <c r="I584" s="33"/>
      <c r="J584" s="42"/>
      <c r="K584" s="43"/>
      <c r="L584" s="44"/>
      <c r="M584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84" s="54">
        <f>tblDonnées[[#This Row],[MONTANT OPERATION]]+tblDonnées[[#This Row],[POS  FUSIONNEE CPTE AVANT OP]]</f>
        <v>0</v>
      </c>
      <c r="O584" s="38" t="str">
        <f>IF(ISBLANK(tblDonnées[[#This Row],[MONTANT AUTO]]), "N/A", ABS(tblDonnées[[#This Row],[POS  FUSIONNEE CPTE APRES OP]])-ABS(tblDonnées[[#This Row],[MONTANT AUTO]]))</f>
        <v>N/A</v>
      </c>
      <c r="P584" s="55" t="e">
        <f>tblDonnées[[#This Row],[DEPASSEMENT TOTAL SUR AUTO
]]/-tblDonnées[[#This Row],[MONTANT AUTO]]</f>
        <v>#VALUE!</v>
      </c>
      <c r="Q584" s="33"/>
      <c r="R584" s="33"/>
      <c r="S584" s="33"/>
      <c r="T584" s="40">
        <f>IF(tblDonnées[[#This Row],[0,5% du dép]]&lt;5000,5000,IF(tblDonnées[[#This Row],[0,5% du dép]]&gt;50000,50000,tblDonnées[[#This Row],[0,5% du dép]]))</f>
        <v>5000</v>
      </c>
      <c r="U584" s="56">
        <f>ABS(tblDonnées[[#This Row],[MONTANT DEPASSEMENT]]*0.005)</f>
        <v>0</v>
      </c>
      <c r="V584" s="33"/>
      <c r="W584" s="33"/>
      <c r="X584" s="33"/>
      <c r="Y584" s="33"/>
      <c r="Z584" s="33"/>
    </row>
    <row r="585" spans="1:26" x14ac:dyDescent="0.25">
      <c r="A585" s="33"/>
      <c r="B585" s="33"/>
      <c r="C585" s="33"/>
      <c r="E585" s="53"/>
      <c r="G585" s="34"/>
      <c r="H585" s="33"/>
      <c r="I585" s="33"/>
      <c r="J585" s="42"/>
      <c r="K585" s="43"/>
      <c r="L585" s="44"/>
      <c r="M585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85" s="54">
        <f>tblDonnées[[#This Row],[MONTANT OPERATION]]+tblDonnées[[#This Row],[POS  FUSIONNEE CPTE AVANT OP]]</f>
        <v>0</v>
      </c>
      <c r="O585" s="38" t="str">
        <f>IF(ISBLANK(tblDonnées[[#This Row],[MONTANT AUTO]]), "N/A", ABS(tblDonnées[[#This Row],[POS  FUSIONNEE CPTE APRES OP]])-ABS(tblDonnées[[#This Row],[MONTANT AUTO]]))</f>
        <v>N/A</v>
      </c>
      <c r="P585" s="55" t="e">
        <f>tblDonnées[[#This Row],[DEPASSEMENT TOTAL SUR AUTO
]]/-tblDonnées[[#This Row],[MONTANT AUTO]]</f>
        <v>#VALUE!</v>
      </c>
      <c r="Q585" s="33"/>
      <c r="R585" s="33"/>
      <c r="S585" s="33"/>
      <c r="T585" s="40">
        <f>IF(tblDonnées[[#This Row],[0,5% du dép]]&lt;5000,5000,IF(tblDonnées[[#This Row],[0,5% du dép]]&gt;50000,50000,tblDonnées[[#This Row],[0,5% du dép]]))</f>
        <v>5000</v>
      </c>
      <c r="U585" s="56">
        <f>ABS(tblDonnées[[#This Row],[MONTANT DEPASSEMENT]]*0.005)</f>
        <v>0</v>
      </c>
      <c r="V585" s="33"/>
      <c r="W585" s="33"/>
      <c r="X585" s="33"/>
      <c r="Y585" s="33"/>
      <c r="Z585" s="33"/>
    </row>
    <row r="586" spans="1:26" x14ac:dyDescent="0.25">
      <c r="A586" s="33"/>
      <c r="B586" s="33"/>
      <c r="C586" s="33"/>
      <c r="E586" s="53"/>
      <c r="G586" s="34"/>
      <c r="H586" s="33"/>
      <c r="I586" s="33"/>
      <c r="J586" s="42"/>
      <c r="K586" s="43"/>
      <c r="L586" s="44"/>
      <c r="M586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86" s="54">
        <f>tblDonnées[[#This Row],[MONTANT OPERATION]]+tblDonnées[[#This Row],[POS  FUSIONNEE CPTE AVANT OP]]</f>
        <v>0</v>
      </c>
      <c r="O586" s="38" t="str">
        <f>IF(ISBLANK(tblDonnées[[#This Row],[MONTANT AUTO]]), "N/A", ABS(tblDonnées[[#This Row],[POS  FUSIONNEE CPTE APRES OP]])-ABS(tblDonnées[[#This Row],[MONTANT AUTO]]))</f>
        <v>N/A</v>
      </c>
      <c r="P586" s="55" t="e">
        <f>tblDonnées[[#This Row],[DEPASSEMENT TOTAL SUR AUTO
]]/-tblDonnées[[#This Row],[MONTANT AUTO]]</f>
        <v>#VALUE!</v>
      </c>
      <c r="Q586" s="33"/>
      <c r="R586" s="33"/>
      <c r="S586" s="33"/>
      <c r="T586" s="40">
        <f>IF(tblDonnées[[#This Row],[0,5% du dép]]&lt;5000,5000,IF(tblDonnées[[#This Row],[0,5% du dép]]&gt;50000,50000,tblDonnées[[#This Row],[0,5% du dép]]))</f>
        <v>5000</v>
      </c>
      <c r="U586" s="56">
        <f>ABS(tblDonnées[[#This Row],[MONTANT DEPASSEMENT]]*0.005)</f>
        <v>0</v>
      </c>
      <c r="V586" s="33"/>
      <c r="W586" s="33"/>
      <c r="X586" s="33"/>
      <c r="Y586" s="33"/>
      <c r="Z586" s="33"/>
    </row>
    <row r="587" spans="1:26" x14ac:dyDescent="0.25">
      <c r="A587" s="33"/>
      <c r="B587" s="33"/>
      <c r="C587" s="33"/>
      <c r="E587" s="53"/>
      <c r="G587" s="34"/>
      <c r="H587" s="33"/>
      <c r="I587" s="33"/>
      <c r="J587" s="42"/>
      <c r="K587" s="43"/>
      <c r="L587" s="44"/>
      <c r="M587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87" s="54">
        <f>tblDonnées[[#This Row],[MONTANT OPERATION]]+tblDonnées[[#This Row],[POS  FUSIONNEE CPTE AVANT OP]]</f>
        <v>0</v>
      </c>
      <c r="O587" s="38" t="str">
        <f>IF(ISBLANK(tblDonnées[[#This Row],[MONTANT AUTO]]), "N/A", ABS(tblDonnées[[#This Row],[POS  FUSIONNEE CPTE APRES OP]])-ABS(tblDonnées[[#This Row],[MONTANT AUTO]]))</f>
        <v>N/A</v>
      </c>
      <c r="P587" s="55" t="e">
        <f>tblDonnées[[#This Row],[DEPASSEMENT TOTAL SUR AUTO
]]/-tblDonnées[[#This Row],[MONTANT AUTO]]</f>
        <v>#VALUE!</v>
      </c>
      <c r="Q587" s="33"/>
      <c r="R587" s="33"/>
      <c r="S587" s="33"/>
      <c r="T587" s="40">
        <f>IF(tblDonnées[[#This Row],[0,5% du dép]]&lt;5000,5000,IF(tblDonnées[[#This Row],[0,5% du dép]]&gt;50000,50000,tblDonnées[[#This Row],[0,5% du dép]]))</f>
        <v>5000</v>
      </c>
      <c r="U587" s="56">
        <f>ABS(tblDonnées[[#This Row],[MONTANT DEPASSEMENT]]*0.005)</f>
        <v>0</v>
      </c>
      <c r="V587" s="33"/>
      <c r="W587" s="33"/>
      <c r="X587" s="33"/>
      <c r="Y587" s="33"/>
      <c r="Z587" s="33"/>
    </row>
    <row r="588" spans="1:26" x14ac:dyDescent="0.25">
      <c r="A588" s="33"/>
      <c r="B588" s="33"/>
      <c r="C588" s="33"/>
      <c r="E588" s="53"/>
      <c r="G588" s="34"/>
      <c r="H588" s="33"/>
      <c r="I588" s="33"/>
      <c r="J588" s="42"/>
      <c r="K588" s="43"/>
      <c r="L588" s="44"/>
      <c r="M588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88" s="54">
        <f>tblDonnées[[#This Row],[MONTANT OPERATION]]+tblDonnées[[#This Row],[POS  FUSIONNEE CPTE AVANT OP]]</f>
        <v>0</v>
      </c>
      <c r="O588" s="38" t="str">
        <f>IF(ISBLANK(tblDonnées[[#This Row],[MONTANT AUTO]]), "N/A", ABS(tblDonnées[[#This Row],[POS  FUSIONNEE CPTE APRES OP]])-ABS(tblDonnées[[#This Row],[MONTANT AUTO]]))</f>
        <v>N/A</v>
      </c>
      <c r="P588" s="55" t="e">
        <f>tblDonnées[[#This Row],[DEPASSEMENT TOTAL SUR AUTO
]]/-tblDonnées[[#This Row],[MONTANT AUTO]]</f>
        <v>#VALUE!</v>
      </c>
      <c r="Q588" s="33"/>
      <c r="R588" s="33"/>
      <c r="S588" s="33"/>
      <c r="T588" s="40">
        <f>IF(tblDonnées[[#This Row],[0,5% du dép]]&lt;5000,5000,IF(tblDonnées[[#This Row],[0,5% du dép]]&gt;50000,50000,tblDonnées[[#This Row],[0,5% du dép]]))</f>
        <v>5000</v>
      </c>
      <c r="U588" s="56">
        <f>ABS(tblDonnées[[#This Row],[MONTANT DEPASSEMENT]]*0.005)</f>
        <v>0</v>
      </c>
      <c r="V588" s="33"/>
      <c r="W588" s="33"/>
      <c r="X588" s="33"/>
      <c r="Y588" s="33"/>
      <c r="Z588" s="33"/>
    </row>
    <row r="589" spans="1:26" x14ac:dyDescent="0.25">
      <c r="A589" s="33"/>
      <c r="B589" s="33"/>
      <c r="C589" s="33"/>
      <c r="E589" s="53"/>
      <c r="G589" s="34"/>
      <c r="H589" s="33"/>
      <c r="I589" s="33"/>
      <c r="J589" s="42"/>
      <c r="K589" s="43"/>
      <c r="L589" s="44"/>
      <c r="M589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89" s="54">
        <f>tblDonnées[[#This Row],[MONTANT OPERATION]]+tblDonnées[[#This Row],[POS  FUSIONNEE CPTE AVANT OP]]</f>
        <v>0</v>
      </c>
      <c r="O589" s="38" t="str">
        <f>IF(ISBLANK(tblDonnées[[#This Row],[MONTANT AUTO]]), "N/A", ABS(tblDonnées[[#This Row],[POS  FUSIONNEE CPTE APRES OP]])-ABS(tblDonnées[[#This Row],[MONTANT AUTO]]))</f>
        <v>N/A</v>
      </c>
      <c r="P589" s="55" t="e">
        <f>tblDonnées[[#This Row],[DEPASSEMENT TOTAL SUR AUTO
]]/-tblDonnées[[#This Row],[MONTANT AUTO]]</f>
        <v>#VALUE!</v>
      </c>
      <c r="Q589" s="33"/>
      <c r="R589" s="33"/>
      <c r="S589" s="33"/>
      <c r="T589" s="40">
        <f>IF(tblDonnées[[#This Row],[0,5% du dép]]&lt;5000,5000,IF(tblDonnées[[#This Row],[0,5% du dép]]&gt;50000,50000,tblDonnées[[#This Row],[0,5% du dép]]))</f>
        <v>5000</v>
      </c>
      <c r="U589" s="56">
        <f>ABS(tblDonnées[[#This Row],[MONTANT DEPASSEMENT]]*0.005)</f>
        <v>0</v>
      </c>
      <c r="V589" s="33"/>
      <c r="W589" s="33"/>
      <c r="X589" s="33"/>
      <c r="Y589" s="33"/>
      <c r="Z589" s="33"/>
    </row>
    <row r="590" spans="1:26" x14ac:dyDescent="0.25">
      <c r="A590" s="33"/>
      <c r="B590" s="33"/>
      <c r="C590" s="33"/>
      <c r="E590" s="53"/>
      <c r="G590" s="34"/>
      <c r="H590" s="33"/>
      <c r="I590" s="33"/>
      <c r="J590" s="42"/>
      <c r="K590" s="43"/>
      <c r="L590" s="44"/>
      <c r="M590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90" s="54">
        <f>tblDonnées[[#This Row],[MONTANT OPERATION]]+tblDonnées[[#This Row],[POS  FUSIONNEE CPTE AVANT OP]]</f>
        <v>0</v>
      </c>
      <c r="O590" s="38" t="str">
        <f>IF(ISBLANK(tblDonnées[[#This Row],[MONTANT AUTO]]), "N/A", ABS(tblDonnées[[#This Row],[POS  FUSIONNEE CPTE APRES OP]])-ABS(tblDonnées[[#This Row],[MONTANT AUTO]]))</f>
        <v>N/A</v>
      </c>
      <c r="P590" s="55" t="e">
        <f>tblDonnées[[#This Row],[DEPASSEMENT TOTAL SUR AUTO
]]/-tblDonnées[[#This Row],[MONTANT AUTO]]</f>
        <v>#VALUE!</v>
      </c>
      <c r="Q590" s="33"/>
      <c r="R590" s="33"/>
      <c r="S590" s="33"/>
      <c r="T590" s="40">
        <f>IF(tblDonnées[[#This Row],[0,5% du dép]]&lt;5000,5000,IF(tblDonnées[[#This Row],[0,5% du dép]]&gt;50000,50000,tblDonnées[[#This Row],[0,5% du dép]]))</f>
        <v>5000</v>
      </c>
      <c r="U590" s="56">
        <f>ABS(tblDonnées[[#This Row],[MONTANT DEPASSEMENT]]*0.005)</f>
        <v>0</v>
      </c>
      <c r="V590" s="33"/>
      <c r="W590" s="33"/>
      <c r="X590" s="33"/>
      <c r="Y590" s="33"/>
      <c r="Z590" s="33"/>
    </row>
    <row r="591" spans="1:26" x14ac:dyDescent="0.25">
      <c r="A591" s="33"/>
      <c r="B591" s="33"/>
      <c r="C591" s="33"/>
      <c r="E591" s="53"/>
      <c r="G591" s="34"/>
      <c r="H591" s="33"/>
      <c r="I591" s="33"/>
      <c r="J591" s="42"/>
      <c r="K591" s="43"/>
      <c r="L591" s="44"/>
      <c r="M591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91" s="54">
        <f>tblDonnées[[#This Row],[MONTANT OPERATION]]+tblDonnées[[#This Row],[POS  FUSIONNEE CPTE AVANT OP]]</f>
        <v>0</v>
      </c>
      <c r="O591" s="38" t="str">
        <f>IF(ISBLANK(tblDonnées[[#This Row],[MONTANT AUTO]]), "N/A", ABS(tblDonnées[[#This Row],[POS  FUSIONNEE CPTE APRES OP]])-ABS(tblDonnées[[#This Row],[MONTANT AUTO]]))</f>
        <v>N/A</v>
      </c>
      <c r="P591" s="55" t="e">
        <f>tblDonnées[[#This Row],[DEPASSEMENT TOTAL SUR AUTO
]]/-tblDonnées[[#This Row],[MONTANT AUTO]]</f>
        <v>#VALUE!</v>
      </c>
      <c r="Q591" s="33"/>
      <c r="R591" s="33"/>
      <c r="S591" s="33"/>
      <c r="T591" s="40">
        <f>IF(tblDonnées[[#This Row],[0,5% du dép]]&lt;5000,5000,IF(tblDonnées[[#This Row],[0,5% du dép]]&gt;50000,50000,tblDonnées[[#This Row],[0,5% du dép]]))</f>
        <v>5000</v>
      </c>
      <c r="U591" s="56">
        <f>ABS(tblDonnées[[#This Row],[MONTANT DEPASSEMENT]]*0.005)</f>
        <v>0</v>
      </c>
      <c r="V591" s="33"/>
      <c r="W591" s="33"/>
      <c r="X591" s="33"/>
      <c r="Y591" s="33"/>
      <c r="Z591" s="33"/>
    </row>
    <row r="592" spans="1:26" x14ac:dyDescent="0.25">
      <c r="A592" s="33"/>
      <c r="B592" s="33"/>
      <c r="C592" s="33"/>
      <c r="E592" s="53"/>
      <c r="G592" s="34"/>
      <c r="H592" s="33"/>
      <c r="I592" s="33"/>
      <c r="J592" s="42"/>
      <c r="K592" s="43"/>
      <c r="L592" s="44"/>
      <c r="M592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92" s="54">
        <f>tblDonnées[[#This Row],[MONTANT OPERATION]]+tblDonnées[[#This Row],[POS  FUSIONNEE CPTE AVANT OP]]</f>
        <v>0</v>
      </c>
      <c r="O592" s="38" t="str">
        <f>IF(ISBLANK(tblDonnées[[#This Row],[MONTANT AUTO]]), "N/A", ABS(tblDonnées[[#This Row],[POS  FUSIONNEE CPTE APRES OP]])-ABS(tblDonnées[[#This Row],[MONTANT AUTO]]))</f>
        <v>N/A</v>
      </c>
      <c r="P592" s="55" t="e">
        <f>tblDonnées[[#This Row],[DEPASSEMENT TOTAL SUR AUTO
]]/-tblDonnées[[#This Row],[MONTANT AUTO]]</f>
        <v>#VALUE!</v>
      </c>
      <c r="Q592" s="33"/>
      <c r="R592" s="33"/>
      <c r="S592" s="33"/>
      <c r="T592" s="40">
        <f>IF(tblDonnées[[#This Row],[0,5% du dép]]&lt;5000,5000,IF(tblDonnées[[#This Row],[0,5% du dép]]&gt;50000,50000,tblDonnées[[#This Row],[0,5% du dép]]))</f>
        <v>5000</v>
      </c>
      <c r="U592" s="56">
        <f>ABS(tblDonnées[[#This Row],[MONTANT DEPASSEMENT]]*0.005)</f>
        <v>0</v>
      </c>
      <c r="V592" s="33"/>
      <c r="W592" s="33"/>
      <c r="X592" s="33"/>
      <c r="Y592" s="33"/>
      <c r="Z592" s="33"/>
    </row>
    <row r="593" spans="1:26" x14ac:dyDescent="0.25">
      <c r="A593" s="33"/>
      <c r="B593" s="33"/>
      <c r="C593" s="33"/>
      <c r="E593" s="53"/>
      <c r="G593" s="34"/>
      <c r="H593" s="33"/>
      <c r="I593" s="33"/>
      <c r="J593" s="42"/>
      <c r="K593" s="43"/>
      <c r="L593" s="44"/>
      <c r="M593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93" s="54">
        <f>tblDonnées[[#This Row],[MONTANT OPERATION]]+tblDonnées[[#This Row],[POS  FUSIONNEE CPTE AVANT OP]]</f>
        <v>0</v>
      </c>
      <c r="O593" s="38" t="str">
        <f>IF(ISBLANK(tblDonnées[[#This Row],[MONTANT AUTO]]), "N/A", ABS(tblDonnées[[#This Row],[POS  FUSIONNEE CPTE APRES OP]])-ABS(tblDonnées[[#This Row],[MONTANT AUTO]]))</f>
        <v>N/A</v>
      </c>
      <c r="P593" s="55" t="e">
        <f>tblDonnées[[#This Row],[DEPASSEMENT TOTAL SUR AUTO
]]/-tblDonnées[[#This Row],[MONTANT AUTO]]</f>
        <v>#VALUE!</v>
      </c>
      <c r="Q593" s="33"/>
      <c r="R593" s="33"/>
      <c r="S593" s="33"/>
      <c r="T593" s="40">
        <f>IF(tblDonnées[[#This Row],[0,5% du dép]]&lt;5000,5000,IF(tblDonnées[[#This Row],[0,5% du dép]]&gt;50000,50000,tblDonnées[[#This Row],[0,5% du dép]]))</f>
        <v>5000</v>
      </c>
      <c r="U593" s="56">
        <f>ABS(tblDonnées[[#This Row],[MONTANT DEPASSEMENT]]*0.005)</f>
        <v>0</v>
      </c>
      <c r="V593" s="33"/>
      <c r="W593" s="33"/>
      <c r="X593" s="33"/>
      <c r="Y593" s="33"/>
      <c r="Z593" s="33"/>
    </row>
    <row r="594" spans="1:26" x14ac:dyDescent="0.25">
      <c r="A594" s="33"/>
      <c r="B594" s="33"/>
      <c r="C594" s="33"/>
      <c r="E594" s="53"/>
      <c r="G594" s="34"/>
      <c r="H594" s="33"/>
      <c r="I594" s="33"/>
      <c r="J594" s="42"/>
      <c r="K594" s="43"/>
      <c r="L594" s="44"/>
      <c r="M594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94" s="54">
        <f>tblDonnées[[#This Row],[MONTANT OPERATION]]+tblDonnées[[#This Row],[POS  FUSIONNEE CPTE AVANT OP]]</f>
        <v>0</v>
      </c>
      <c r="O594" s="38" t="str">
        <f>IF(ISBLANK(tblDonnées[[#This Row],[MONTANT AUTO]]), "N/A", ABS(tblDonnées[[#This Row],[POS  FUSIONNEE CPTE APRES OP]])-ABS(tblDonnées[[#This Row],[MONTANT AUTO]]))</f>
        <v>N/A</v>
      </c>
      <c r="P594" s="55" t="e">
        <f>tblDonnées[[#This Row],[DEPASSEMENT TOTAL SUR AUTO
]]/-tblDonnées[[#This Row],[MONTANT AUTO]]</f>
        <v>#VALUE!</v>
      </c>
      <c r="Q594" s="33"/>
      <c r="R594" s="33"/>
      <c r="S594" s="33"/>
      <c r="T594" s="40">
        <f>IF(tblDonnées[[#This Row],[0,5% du dép]]&lt;5000,5000,IF(tblDonnées[[#This Row],[0,5% du dép]]&gt;50000,50000,tblDonnées[[#This Row],[0,5% du dép]]))</f>
        <v>5000</v>
      </c>
      <c r="U594" s="56">
        <f>ABS(tblDonnées[[#This Row],[MONTANT DEPASSEMENT]]*0.005)</f>
        <v>0</v>
      </c>
      <c r="V594" s="33"/>
      <c r="W594" s="33"/>
      <c r="X594" s="33"/>
      <c r="Y594" s="33"/>
      <c r="Z594" s="33"/>
    </row>
    <row r="595" spans="1:26" x14ac:dyDescent="0.25">
      <c r="A595" s="33"/>
      <c r="B595" s="33"/>
      <c r="C595" s="33"/>
      <c r="E595" s="53"/>
      <c r="G595" s="34"/>
      <c r="H595" s="33"/>
      <c r="I595" s="33"/>
      <c r="J595" s="42"/>
      <c r="K595" s="43"/>
      <c r="L595" s="44"/>
      <c r="M595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95" s="54">
        <f>tblDonnées[[#This Row],[MONTANT OPERATION]]+tblDonnées[[#This Row],[POS  FUSIONNEE CPTE AVANT OP]]</f>
        <v>0</v>
      </c>
      <c r="O595" s="38" t="str">
        <f>IF(ISBLANK(tblDonnées[[#This Row],[MONTANT AUTO]]), "N/A", ABS(tblDonnées[[#This Row],[POS  FUSIONNEE CPTE APRES OP]])-ABS(tblDonnées[[#This Row],[MONTANT AUTO]]))</f>
        <v>N/A</v>
      </c>
      <c r="P595" s="55" t="e">
        <f>tblDonnées[[#This Row],[DEPASSEMENT TOTAL SUR AUTO
]]/-tblDonnées[[#This Row],[MONTANT AUTO]]</f>
        <v>#VALUE!</v>
      </c>
      <c r="Q595" s="33"/>
      <c r="R595" s="33"/>
      <c r="S595" s="33"/>
      <c r="T595" s="40">
        <f>IF(tblDonnées[[#This Row],[0,5% du dép]]&lt;5000,5000,IF(tblDonnées[[#This Row],[0,5% du dép]]&gt;50000,50000,tblDonnées[[#This Row],[0,5% du dép]]))</f>
        <v>5000</v>
      </c>
      <c r="U595" s="56">
        <f>ABS(tblDonnées[[#This Row],[MONTANT DEPASSEMENT]]*0.005)</f>
        <v>0</v>
      </c>
      <c r="V595" s="33"/>
      <c r="W595" s="33"/>
      <c r="X595" s="33"/>
      <c r="Y595" s="33"/>
      <c r="Z595" s="33"/>
    </row>
    <row r="596" spans="1:26" x14ac:dyDescent="0.25">
      <c r="A596" s="33"/>
      <c r="B596" s="33"/>
      <c r="C596" s="33"/>
      <c r="E596" s="53"/>
      <c r="G596" s="34"/>
      <c r="H596" s="33"/>
      <c r="I596" s="33"/>
      <c r="J596" s="42"/>
      <c r="K596" s="43"/>
      <c r="L596" s="44"/>
      <c r="M596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96" s="54">
        <f>tblDonnées[[#This Row],[MONTANT OPERATION]]+tblDonnées[[#This Row],[POS  FUSIONNEE CPTE AVANT OP]]</f>
        <v>0</v>
      </c>
      <c r="O596" s="38" t="str">
        <f>IF(ISBLANK(tblDonnées[[#This Row],[MONTANT AUTO]]), "N/A", ABS(tblDonnées[[#This Row],[POS  FUSIONNEE CPTE APRES OP]])-ABS(tblDonnées[[#This Row],[MONTANT AUTO]]))</f>
        <v>N/A</v>
      </c>
      <c r="P596" s="55" t="e">
        <f>tblDonnées[[#This Row],[DEPASSEMENT TOTAL SUR AUTO
]]/-tblDonnées[[#This Row],[MONTANT AUTO]]</f>
        <v>#VALUE!</v>
      </c>
      <c r="Q596" s="33"/>
      <c r="R596" s="33"/>
      <c r="S596" s="33"/>
      <c r="T596" s="40">
        <f>IF(tblDonnées[[#This Row],[0,5% du dép]]&lt;5000,5000,IF(tblDonnées[[#This Row],[0,5% du dép]]&gt;50000,50000,tblDonnées[[#This Row],[0,5% du dép]]))</f>
        <v>5000</v>
      </c>
      <c r="U596" s="56">
        <f>ABS(tblDonnées[[#This Row],[MONTANT DEPASSEMENT]]*0.005)</f>
        <v>0</v>
      </c>
      <c r="V596" s="33"/>
      <c r="W596" s="33"/>
      <c r="X596" s="33"/>
      <c r="Y596" s="33"/>
      <c r="Z596" s="33"/>
    </row>
    <row r="597" spans="1:26" x14ac:dyDescent="0.25">
      <c r="A597" s="33"/>
      <c r="B597" s="33"/>
      <c r="C597" s="33"/>
      <c r="E597" s="53"/>
      <c r="G597" s="34"/>
      <c r="H597" s="33"/>
      <c r="I597" s="33"/>
      <c r="J597" s="42"/>
      <c r="K597" s="43"/>
      <c r="L597" s="44"/>
      <c r="M597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97" s="54">
        <f>tblDonnées[[#This Row],[MONTANT OPERATION]]+tblDonnées[[#This Row],[POS  FUSIONNEE CPTE AVANT OP]]</f>
        <v>0</v>
      </c>
      <c r="O597" s="38" t="str">
        <f>IF(ISBLANK(tblDonnées[[#This Row],[MONTANT AUTO]]), "N/A", ABS(tblDonnées[[#This Row],[POS  FUSIONNEE CPTE APRES OP]])-ABS(tblDonnées[[#This Row],[MONTANT AUTO]]))</f>
        <v>N/A</v>
      </c>
      <c r="P597" s="55" t="e">
        <f>tblDonnées[[#This Row],[DEPASSEMENT TOTAL SUR AUTO
]]/-tblDonnées[[#This Row],[MONTANT AUTO]]</f>
        <v>#VALUE!</v>
      </c>
      <c r="Q597" s="33"/>
      <c r="R597" s="33"/>
      <c r="S597" s="33"/>
      <c r="T597" s="40">
        <f>IF(tblDonnées[[#This Row],[0,5% du dép]]&lt;5000,5000,IF(tblDonnées[[#This Row],[0,5% du dép]]&gt;50000,50000,tblDonnées[[#This Row],[0,5% du dép]]))</f>
        <v>5000</v>
      </c>
      <c r="U597" s="56">
        <f>ABS(tblDonnées[[#This Row],[MONTANT DEPASSEMENT]]*0.005)</f>
        <v>0</v>
      </c>
      <c r="V597" s="33"/>
      <c r="W597" s="33"/>
      <c r="X597" s="33"/>
      <c r="Y597" s="33"/>
      <c r="Z597" s="33"/>
    </row>
    <row r="598" spans="1:26" x14ac:dyDescent="0.25">
      <c r="A598" s="33"/>
      <c r="B598" s="33"/>
      <c r="C598" s="33"/>
      <c r="E598" s="53"/>
      <c r="G598" s="34"/>
      <c r="H598" s="33"/>
      <c r="I598" s="33"/>
      <c r="J598" s="42"/>
      <c r="K598" s="43"/>
      <c r="L598" s="44"/>
      <c r="M598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98" s="54">
        <f>tblDonnées[[#This Row],[MONTANT OPERATION]]+tblDonnées[[#This Row],[POS  FUSIONNEE CPTE AVANT OP]]</f>
        <v>0</v>
      </c>
      <c r="O598" s="38" t="str">
        <f>IF(ISBLANK(tblDonnées[[#This Row],[MONTANT AUTO]]), "N/A", ABS(tblDonnées[[#This Row],[POS  FUSIONNEE CPTE APRES OP]])-ABS(tblDonnées[[#This Row],[MONTANT AUTO]]))</f>
        <v>N/A</v>
      </c>
      <c r="P598" s="55" t="e">
        <f>tblDonnées[[#This Row],[DEPASSEMENT TOTAL SUR AUTO
]]/-tblDonnées[[#This Row],[MONTANT AUTO]]</f>
        <v>#VALUE!</v>
      </c>
      <c r="Q598" s="33"/>
      <c r="R598" s="33"/>
      <c r="S598" s="33"/>
      <c r="T598" s="40">
        <f>IF(tblDonnées[[#This Row],[0,5% du dép]]&lt;5000,5000,IF(tblDonnées[[#This Row],[0,5% du dép]]&gt;50000,50000,tblDonnées[[#This Row],[0,5% du dép]]))</f>
        <v>5000</v>
      </c>
      <c r="U598" s="56">
        <f>ABS(tblDonnées[[#This Row],[MONTANT DEPASSEMENT]]*0.005)</f>
        <v>0</v>
      </c>
      <c r="V598" s="33"/>
      <c r="W598" s="33"/>
      <c r="X598" s="33"/>
      <c r="Y598" s="33"/>
      <c r="Z598" s="33"/>
    </row>
    <row r="599" spans="1:26" x14ac:dyDescent="0.25">
      <c r="A599" s="33"/>
      <c r="B599" s="33"/>
      <c r="C599" s="33"/>
      <c r="E599" s="53"/>
      <c r="G599" s="34"/>
      <c r="H599" s="33"/>
      <c r="I599" s="33"/>
      <c r="J599" s="42"/>
      <c r="K599" s="43"/>
      <c r="L599" s="44"/>
      <c r="M599" s="40">
        <f>ABS(IF((tblDonnées[[#This Row],[POS  FUSIONNEE CPTE AVANT OP]]&gt;tblDonnées[[#This Row],[MONTANT AUTO]]),(tblDonnées[[#This Row],[POS  FUSIONNEE CPTE AVANT OP]]+tblDonnées[[#This Row],[MONTANT OPERATION]])-tblDonnées[[#This Row],[MONTANT AUTO]],tblDonnées[[#This Row],[MONTANT OPERATION]]))</f>
        <v>0</v>
      </c>
      <c r="N599" s="54">
        <f>tblDonnées[[#This Row],[MONTANT OPERATION]]+tblDonnées[[#This Row],[POS  FUSIONNEE CPTE AVANT OP]]</f>
        <v>0</v>
      </c>
      <c r="O599" s="38" t="str">
        <f>IF(ISBLANK(tblDonnées[[#This Row],[MONTANT AUTO]]), "N/A", ABS(tblDonnées[[#This Row],[POS  FUSIONNEE CPTE APRES OP]])-ABS(tblDonnées[[#This Row],[MONTANT AUTO]]))</f>
        <v>N/A</v>
      </c>
      <c r="P599" s="55" t="e">
        <f>tblDonnées[[#This Row],[DEPASSEMENT TOTAL SUR AUTO
]]/-tblDonnées[[#This Row],[MONTANT AUTO]]</f>
        <v>#VALUE!</v>
      </c>
      <c r="Q599" s="33"/>
      <c r="R599" s="33"/>
      <c r="S599" s="33"/>
      <c r="T599" s="40">
        <f>IF(tblDonnées[[#This Row],[0,5% du dép]]&lt;5000,5000,IF(tblDonnées[[#This Row],[0,5% du dép]]&gt;50000,50000,tblDonnées[[#This Row],[0,5% du dép]]))</f>
        <v>5000</v>
      </c>
      <c r="U599" s="56">
        <f>ABS(tblDonnées[[#This Row],[MONTANT DEPASSEMENT]]*0.005)</f>
        <v>0</v>
      </c>
      <c r="V599" s="33"/>
      <c r="W599" s="33"/>
      <c r="X599" s="33"/>
      <c r="Y599" s="33"/>
      <c r="Z599" s="33"/>
    </row>
    <row r="600" spans="1:26" x14ac:dyDescent="0.25">
      <c r="A600" s="61"/>
      <c r="B600" s="61"/>
      <c r="C600" s="61"/>
      <c r="D600" s="62"/>
      <c r="E600" s="48"/>
      <c r="F600" s="63"/>
      <c r="G600" s="61"/>
      <c r="H600" s="61"/>
      <c r="I600" s="61"/>
      <c r="J600" s="64"/>
      <c r="K600" s="65"/>
      <c r="L600" s="66"/>
      <c r="M600" s="67"/>
      <c r="N600" s="67"/>
      <c r="O600" s="67"/>
      <c r="P600" s="67"/>
      <c r="Q600" s="61"/>
      <c r="R600" s="61"/>
      <c r="S600" s="61"/>
      <c r="T600" s="67"/>
      <c r="U600" s="67"/>
      <c r="V600" s="61"/>
      <c r="W600" s="61"/>
      <c r="X600" s="61"/>
      <c r="Y600" s="61"/>
      <c r="Z600" s="69"/>
    </row>
  </sheetData>
  <phoneticPr fontId="10" type="noConversion"/>
  <conditionalFormatting sqref="P2:P599">
    <cfRule type="colorScale" priority="1">
      <colorScale>
        <cfvo type="percent" val="0"/>
        <cfvo type="percent" val="10"/>
        <cfvo type="percent" val="11"/>
        <color rgb="FF00B050"/>
        <color rgb="FFFFC000"/>
        <color rgb="FFFF0000"/>
      </colorScale>
    </cfRule>
  </conditionalFormatting>
  <pageMargins left="0.7" right="0.7" top="0.75" bottom="0.75" header="0.3" footer="0.3"/>
  <pageSetup paperSize="9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44AE7FF-57B3-441D-80F9-7E4D0D15F5EF}">
          <x14:formula1>
            <xm:f>BASE_CLIENT!$Z$2:$Z$37</xm:f>
          </x14:formula1>
          <xm:sqref>I2:I599</xm:sqref>
        </x14:dataValidation>
        <x14:dataValidation type="list" allowBlank="1" showInputMessage="1" showErrorMessage="1" xr:uid="{2C2EEB25-5282-4929-A36D-D3D6CAF75358}">
          <x14:formula1>
            <xm:f>BASE_CLIENT!$AA$2:$AA$6</xm:f>
          </x14:formula1>
          <xm:sqref>S2:S599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4681-F37E-4549-A792-4E0FCCEBCF7C}">
  <sheetPr codeName="Feuil2"/>
  <dimension ref="B3:S42"/>
  <sheetViews>
    <sheetView topLeftCell="A20" workbookViewId="0">
      <selection activeCell="J39" sqref="J39:J41"/>
    </sheetView>
  </sheetViews>
  <sheetFormatPr baseColWidth="10" defaultRowHeight="15" x14ac:dyDescent="0.25"/>
  <cols>
    <col min="10" max="10" width="21.125" bestFit="1" customWidth="1"/>
    <col min="11" max="11" width="31.375" bestFit="1" customWidth="1"/>
    <col min="12" max="12" width="21.125" bestFit="1" customWidth="1"/>
    <col min="16" max="16" width="21.125" bestFit="1" customWidth="1"/>
  </cols>
  <sheetData>
    <row r="3" spans="2:19" x14ac:dyDescent="0.25">
      <c r="D3">
        <v>30</v>
      </c>
      <c r="E3" t="s">
        <v>700</v>
      </c>
      <c r="F3" t="s">
        <v>701</v>
      </c>
      <c r="G3">
        <v>90001253496</v>
      </c>
      <c r="H3">
        <v>69</v>
      </c>
      <c r="J3">
        <v>2612151000</v>
      </c>
      <c r="K3" t="s">
        <v>702</v>
      </c>
      <c r="L3" s="81">
        <v>-4495673308</v>
      </c>
      <c r="M3" t="s">
        <v>703</v>
      </c>
      <c r="O3" s="80">
        <v>46215</v>
      </c>
      <c r="P3" t="s">
        <v>704</v>
      </c>
      <c r="Q3">
        <v>99000021</v>
      </c>
      <c r="R3" t="s">
        <v>705</v>
      </c>
      <c r="S3" s="80">
        <v>46215</v>
      </c>
    </row>
    <row r="4" spans="2:19" x14ac:dyDescent="0.25">
      <c r="D4">
        <v>30</v>
      </c>
      <c r="E4" t="s">
        <v>700</v>
      </c>
      <c r="F4" t="s">
        <v>701</v>
      </c>
      <c r="G4">
        <v>90001939494</v>
      </c>
      <c r="H4">
        <v>27</v>
      </c>
      <c r="J4">
        <v>2011810000</v>
      </c>
      <c r="K4" t="s">
        <v>706</v>
      </c>
      <c r="L4" s="81">
        <v>-3650799452</v>
      </c>
      <c r="M4">
        <v>0</v>
      </c>
      <c r="P4" t="s">
        <v>707</v>
      </c>
      <c r="Q4">
        <v>99000021</v>
      </c>
      <c r="R4" t="s">
        <v>705</v>
      </c>
      <c r="S4" s="80">
        <v>46215</v>
      </c>
    </row>
    <row r="5" spans="2:19" x14ac:dyDescent="0.25">
      <c r="D5">
        <v>30</v>
      </c>
      <c r="E5" t="s">
        <v>700</v>
      </c>
      <c r="F5" t="s">
        <v>701</v>
      </c>
      <c r="G5">
        <v>90001104308</v>
      </c>
      <c r="H5">
        <v>75</v>
      </c>
      <c r="J5">
        <v>2612151000</v>
      </c>
      <c r="K5" t="s">
        <v>702</v>
      </c>
      <c r="L5" s="81">
        <v>1724371403</v>
      </c>
      <c r="M5">
        <v>0</v>
      </c>
      <c r="P5" t="s">
        <v>708</v>
      </c>
      <c r="Q5">
        <v>99000021</v>
      </c>
      <c r="R5" t="s">
        <v>705</v>
      </c>
      <c r="S5" s="80">
        <v>46215</v>
      </c>
    </row>
    <row r="6" spans="2:19" x14ac:dyDescent="0.25">
      <c r="L6" s="81">
        <f>SUM(L3:L5)</f>
        <v>-6422101357</v>
      </c>
    </row>
    <row r="8" spans="2:19" x14ac:dyDescent="0.25">
      <c r="B8" t="s">
        <v>713</v>
      </c>
      <c r="C8" t="s">
        <v>714</v>
      </c>
      <c r="D8" t="s">
        <v>715</v>
      </c>
      <c r="E8">
        <v>30</v>
      </c>
      <c r="F8" t="s">
        <v>716</v>
      </c>
      <c r="G8">
        <v>29504</v>
      </c>
      <c r="H8" t="s">
        <v>717</v>
      </c>
      <c r="I8" t="s">
        <v>701</v>
      </c>
      <c r="J8" t="s">
        <v>718</v>
      </c>
      <c r="K8" t="s">
        <v>701</v>
      </c>
      <c r="L8" t="s">
        <v>718</v>
      </c>
      <c r="M8" t="s">
        <v>719</v>
      </c>
      <c r="N8" s="86">
        <v>46168.669942129629</v>
      </c>
      <c r="O8" s="80">
        <v>46171</v>
      </c>
    </row>
    <row r="9" spans="2:19" x14ac:dyDescent="0.25">
      <c r="N9" s="86"/>
      <c r="O9" s="80"/>
    </row>
    <row r="10" spans="2:19" x14ac:dyDescent="0.25">
      <c r="B10" t="s">
        <v>713</v>
      </c>
      <c r="C10" t="s">
        <v>714</v>
      </c>
      <c r="D10" t="s">
        <v>715</v>
      </c>
      <c r="E10">
        <v>30</v>
      </c>
      <c r="F10" t="s">
        <v>720</v>
      </c>
      <c r="G10">
        <v>66777</v>
      </c>
      <c r="H10" t="s">
        <v>717</v>
      </c>
      <c r="I10" t="s">
        <v>701</v>
      </c>
      <c r="J10" t="s">
        <v>721</v>
      </c>
      <c r="K10" t="s">
        <v>701</v>
      </c>
      <c r="L10" t="s">
        <v>722</v>
      </c>
      <c r="M10" t="s">
        <v>719</v>
      </c>
      <c r="N10" s="86">
        <v>46168.65047453704</v>
      </c>
      <c r="O10" s="80">
        <v>46171</v>
      </c>
    </row>
    <row r="11" spans="2:19" x14ac:dyDescent="0.25">
      <c r="B11" t="s">
        <v>713</v>
      </c>
      <c r="C11" t="s">
        <v>714</v>
      </c>
      <c r="D11" t="s">
        <v>715</v>
      </c>
      <c r="E11">
        <v>30</v>
      </c>
      <c r="F11" t="s">
        <v>720</v>
      </c>
      <c r="G11">
        <v>66778</v>
      </c>
      <c r="H11" t="s">
        <v>717</v>
      </c>
      <c r="I11" t="s">
        <v>701</v>
      </c>
      <c r="J11" t="s">
        <v>721</v>
      </c>
      <c r="K11" t="s">
        <v>701</v>
      </c>
      <c r="L11" t="s">
        <v>722</v>
      </c>
      <c r="M11" t="s">
        <v>719</v>
      </c>
      <c r="N11" s="86">
        <v>46168.651122685187</v>
      </c>
      <c r="O11" s="80">
        <v>46171</v>
      </c>
    </row>
    <row r="12" spans="2:19" x14ac:dyDescent="0.25">
      <c r="B12" t="s">
        <v>713</v>
      </c>
      <c r="C12" t="s">
        <v>714</v>
      </c>
      <c r="D12" t="s">
        <v>715</v>
      </c>
      <c r="E12">
        <v>30</v>
      </c>
      <c r="F12" t="s">
        <v>720</v>
      </c>
      <c r="G12">
        <v>66779</v>
      </c>
      <c r="H12" t="s">
        <v>717</v>
      </c>
      <c r="I12" t="s">
        <v>701</v>
      </c>
      <c r="J12" t="s">
        <v>721</v>
      </c>
      <c r="K12" t="s">
        <v>701</v>
      </c>
      <c r="L12" t="s">
        <v>722</v>
      </c>
      <c r="M12" t="s">
        <v>719</v>
      </c>
      <c r="N12" s="86">
        <v>46168.651747685188</v>
      </c>
      <c r="O12" s="80">
        <v>46171</v>
      </c>
    </row>
    <row r="13" spans="2:19" x14ac:dyDescent="0.25">
      <c r="B13" t="s">
        <v>713</v>
      </c>
      <c r="C13" t="s">
        <v>714</v>
      </c>
      <c r="D13" t="s">
        <v>715</v>
      </c>
      <c r="E13">
        <v>30</v>
      </c>
      <c r="F13" t="s">
        <v>720</v>
      </c>
      <c r="G13">
        <v>66780</v>
      </c>
      <c r="H13" t="s">
        <v>717</v>
      </c>
      <c r="I13" t="s">
        <v>701</v>
      </c>
      <c r="J13" t="s">
        <v>723</v>
      </c>
      <c r="K13" t="s">
        <v>701</v>
      </c>
      <c r="L13" t="s">
        <v>724</v>
      </c>
      <c r="M13" t="s">
        <v>719</v>
      </c>
      <c r="N13" s="86">
        <v>46168.652337962965</v>
      </c>
      <c r="O13" s="80">
        <v>46171</v>
      </c>
    </row>
    <row r="14" spans="2:19" x14ac:dyDescent="0.25">
      <c r="B14" t="s">
        <v>713</v>
      </c>
      <c r="C14" t="s">
        <v>714</v>
      </c>
      <c r="D14" t="s">
        <v>715</v>
      </c>
      <c r="E14">
        <v>30</v>
      </c>
      <c r="F14" t="s">
        <v>720</v>
      </c>
      <c r="G14">
        <v>66781</v>
      </c>
      <c r="H14" t="s">
        <v>717</v>
      </c>
      <c r="I14" t="s">
        <v>701</v>
      </c>
      <c r="J14" t="s">
        <v>725</v>
      </c>
      <c r="K14" t="s">
        <v>701</v>
      </c>
      <c r="L14" t="s">
        <v>726</v>
      </c>
      <c r="M14" t="s">
        <v>719</v>
      </c>
      <c r="N14" s="86">
        <v>46168.652951388889</v>
      </c>
      <c r="O14" s="80">
        <v>46171</v>
      </c>
    </row>
    <row r="15" spans="2:19" x14ac:dyDescent="0.25">
      <c r="B15" t="s">
        <v>713</v>
      </c>
      <c r="C15" t="s">
        <v>714</v>
      </c>
      <c r="D15" t="s">
        <v>715</v>
      </c>
      <c r="E15">
        <v>30</v>
      </c>
      <c r="F15" t="s">
        <v>720</v>
      </c>
      <c r="G15">
        <v>66782</v>
      </c>
      <c r="H15" t="s">
        <v>717</v>
      </c>
      <c r="I15" t="s">
        <v>701</v>
      </c>
      <c r="J15" t="s">
        <v>727</v>
      </c>
      <c r="K15" t="s">
        <v>701</v>
      </c>
      <c r="L15" t="s">
        <v>728</v>
      </c>
      <c r="M15" t="s">
        <v>719</v>
      </c>
      <c r="N15" s="86">
        <v>46168.654085648152</v>
      </c>
      <c r="O15" s="80">
        <v>46171</v>
      </c>
    </row>
    <row r="16" spans="2:19" x14ac:dyDescent="0.25">
      <c r="B16" t="s">
        <v>713</v>
      </c>
      <c r="C16" t="s">
        <v>714</v>
      </c>
      <c r="D16" t="s">
        <v>715</v>
      </c>
      <c r="E16">
        <v>30</v>
      </c>
      <c r="F16" t="s">
        <v>720</v>
      </c>
      <c r="G16">
        <v>66783</v>
      </c>
      <c r="H16" t="s">
        <v>717</v>
      </c>
      <c r="I16" t="s">
        <v>701</v>
      </c>
      <c r="J16" t="s">
        <v>729</v>
      </c>
      <c r="K16" t="s">
        <v>701</v>
      </c>
      <c r="L16" t="s">
        <v>730</v>
      </c>
      <c r="M16" t="s">
        <v>719</v>
      </c>
      <c r="N16" s="86">
        <v>46168.659768518519</v>
      </c>
      <c r="O16" s="80">
        <v>46171</v>
      </c>
    </row>
    <row r="17" spans="2:15" x14ac:dyDescent="0.25">
      <c r="B17" t="s">
        <v>713</v>
      </c>
      <c r="C17" t="s">
        <v>714</v>
      </c>
      <c r="D17" t="s">
        <v>715</v>
      </c>
      <c r="E17">
        <v>30</v>
      </c>
      <c r="F17" t="s">
        <v>720</v>
      </c>
      <c r="G17">
        <v>66786</v>
      </c>
      <c r="H17" t="s">
        <v>717</v>
      </c>
      <c r="I17" t="s">
        <v>701</v>
      </c>
      <c r="J17" t="s">
        <v>731</v>
      </c>
      <c r="K17" t="s">
        <v>701</v>
      </c>
      <c r="L17" t="s">
        <v>732</v>
      </c>
      <c r="M17" t="s">
        <v>719</v>
      </c>
      <c r="N17" s="86">
        <v>46168.665659722225</v>
      </c>
      <c r="O17" s="80">
        <v>46171</v>
      </c>
    </row>
    <row r="18" spans="2:15" x14ac:dyDescent="0.25">
      <c r="B18" t="s">
        <v>713</v>
      </c>
      <c r="C18" t="s">
        <v>714</v>
      </c>
      <c r="D18" t="s">
        <v>715</v>
      </c>
      <c r="E18">
        <v>30</v>
      </c>
      <c r="F18" t="s">
        <v>720</v>
      </c>
      <c r="G18">
        <v>66794</v>
      </c>
      <c r="H18" t="s">
        <v>717</v>
      </c>
      <c r="I18" t="s">
        <v>701</v>
      </c>
      <c r="J18" t="s">
        <v>733</v>
      </c>
      <c r="K18" t="s">
        <v>701</v>
      </c>
      <c r="L18" t="s">
        <v>734</v>
      </c>
      <c r="M18" t="s">
        <v>719</v>
      </c>
      <c r="N18" s="86">
        <v>46168.669189814813</v>
      </c>
      <c r="O18" s="80">
        <v>46171</v>
      </c>
    </row>
    <row r="19" spans="2:15" x14ac:dyDescent="0.25">
      <c r="B19" t="s">
        <v>713</v>
      </c>
      <c r="C19" t="s">
        <v>714</v>
      </c>
      <c r="D19" t="s">
        <v>715</v>
      </c>
      <c r="E19">
        <v>30</v>
      </c>
      <c r="F19" t="s">
        <v>720</v>
      </c>
      <c r="G19">
        <v>66797</v>
      </c>
      <c r="H19" t="s">
        <v>717</v>
      </c>
      <c r="I19" t="s">
        <v>701</v>
      </c>
      <c r="J19" t="s">
        <v>727</v>
      </c>
      <c r="K19" t="s">
        <v>701</v>
      </c>
      <c r="L19" t="s">
        <v>728</v>
      </c>
      <c r="M19" t="s">
        <v>719</v>
      </c>
      <c r="N19" s="86">
        <v>46168.670636574076</v>
      </c>
      <c r="O19" s="80">
        <v>46171</v>
      </c>
    </row>
    <row r="20" spans="2:15" x14ac:dyDescent="0.25">
      <c r="B20" t="s">
        <v>713</v>
      </c>
      <c r="C20" t="s">
        <v>714</v>
      </c>
      <c r="D20" t="s">
        <v>715</v>
      </c>
      <c r="E20">
        <v>30</v>
      </c>
      <c r="F20" t="s">
        <v>720</v>
      </c>
      <c r="G20">
        <v>66800</v>
      </c>
      <c r="H20" t="s">
        <v>717</v>
      </c>
      <c r="I20" t="s">
        <v>701</v>
      </c>
      <c r="J20" t="s">
        <v>735</v>
      </c>
      <c r="K20" t="s">
        <v>701</v>
      </c>
      <c r="L20" t="s">
        <v>718</v>
      </c>
      <c r="M20" t="s">
        <v>719</v>
      </c>
      <c r="N20" s="86">
        <v>46168.671307870369</v>
      </c>
      <c r="O20" s="80">
        <v>46171</v>
      </c>
    </row>
    <row r="21" spans="2:15" x14ac:dyDescent="0.25">
      <c r="B21" t="s">
        <v>713</v>
      </c>
      <c r="C21" t="s">
        <v>714</v>
      </c>
      <c r="D21" t="s">
        <v>715</v>
      </c>
      <c r="E21">
        <v>30</v>
      </c>
      <c r="F21" t="s">
        <v>736</v>
      </c>
      <c r="G21">
        <v>64128</v>
      </c>
      <c r="H21" t="s">
        <v>717</v>
      </c>
      <c r="I21" t="s">
        <v>701</v>
      </c>
      <c r="J21" t="s">
        <v>737</v>
      </c>
      <c r="K21" t="s">
        <v>701</v>
      </c>
      <c r="L21" t="s">
        <v>737</v>
      </c>
      <c r="M21" t="s">
        <v>719</v>
      </c>
      <c r="N21" s="86">
        <v>46168.667048611111</v>
      </c>
      <c r="O21" s="80">
        <v>46171</v>
      </c>
    </row>
    <row r="25" spans="2:15" x14ac:dyDescent="0.25">
      <c r="B25" t="s">
        <v>738</v>
      </c>
    </row>
    <row r="26" spans="2:15" x14ac:dyDescent="0.25">
      <c r="B26" t="s">
        <v>739</v>
      </c>
    </row>
    <row r="27" spans="2:15" x14ac:dyDescent="0.25">
      <c r="B27" t="s">
        <v>740</v>
      </c>
    </row>
    <row r="28" spans="2:15" x14ac:dyDescent="0.25">
      <c r="B28" t="s">
        <v>741</v>
      </c>
    </row>
    <row r="29" spans="2:15" x14ac:dyDescent="0.25">
      <c r="B29" t="s">
        <v>742</v>
      </c>
    </row>
    <row r="30" spans="2:15" x14ac:dyDescent="0.25">
      <c r="B30" t="s">
        <v>743</v>
      </c>
    </row>
    <row r="31" spans="2:15" x14ac:dyDescent="0.25">
      <c r="B31" t="s">
        <v>744</v>
      </c>
    </row>
    <row r="32" spans="2:15" x14ac:dyDescent="0.25">
      <c r="B32" t="s">
        <v>745</v>
      </c>
    </row>
    <row r="33" spans="2:17" x14ac:dyDescent="0.25">
      <c r="B33" t="s">
        <v>746</v>
      </c>
    </row>
    <row r="34" spans="2:17" x14ac:dyDescent="0.25">
      <c r="B34" t="s">
        <v>747</v>
      </c>
    </row>
    <row r="35" spans="2:17" x14ac:dyDescent="0.25">
      <c r="B35" t="s">
        <v>748</v>
      </c>
    </row>
    <row r="36" spans="2:17" x14ac:dyDescent="0.25">
      <c r="B36" t="s">
        <v>749</v>
      </c>
    </row>
    <row r="39" spans="2:17" x14ac:dyDescent="0.25">
      <c r="B39">
        <v>30</v>
      </c>
      <c r="C39" t="s">
        <v>700</v>
      </c>
      <c r="D39" t="s">
        <v>701</v>
      </c>
      <c r="E39">
        <v>90001939494</v>
      </c>
      <c r="F39">
        <v>27</v>
      </c>
      <c r="H39">
        <v>2011810000</v>
      </c>
      <c r="I39" t="s">
        <v>706</v>
      </c>
      <c r="J39" s="81">
        <v>-3650799452</v>
      </c>
      <c r="K39">
        <v>0</v>
      </c>
      <c r="N39" t="s">
        <v>707</v>
      </c>
      <c r="O39">
        <v>99000021</v>
      </c>
      <c r="P39" t="s">
        <v>705</v>
      </c>
      <c r="Q39" s="80">
        <v>46215</v>
      </c>
    </row>
    <row r="40" spans="2:17" x14ac:dyDescent="0.25">
      <c r="B40">
        <v>30</v>
      </c>
      <c r="C40" t="s">
        <v>700</v>
      </c>
      <c r="D40" t="s">
        <v>701</v>
      </c>
      <c r="E40">
        <v>90001253496</v>
      </c>
      <c r="F40">
        <v>69</v>
      </c>
      <c r="H40">
        <v>2612151000</v>
      </c>
      <c r="I40" t="s">
        <v>702</v>
      </c>
      <c r="J40" s="81">
        <v>-2494157781</v>
      </c>
      <c r="K40" t="s">
        <v>703</v>
      </c>
      <c r="M40" s="80">
        <v>46215</v>
      </c>
      <c r="N40" t="s">
        <v>750</v>
      </c>
      <c r="O40">
        <v>99000021</v>
      </c>
      <c r="P40" t="s">
        <v>705</v>
      </c>
      <c r="Q40" s="80">
        <v>46215</v>
      </c>
    </row>
    <row r="41" spans="2:17" x14ac:dyDescent="0.25">
      <c r="B41">
        <v>30</v>
      </c>
      <c r="C41" t="s">
        <v>700</v>
      </c>
      <c r="D41" t="s">
        <v>701</v>
      </c>
      <c r="E41">
        <v>90001104308</v>
      </c>
      <c r="F41">
        <v>75</v>
      </c>
      <c r="H41">
        <v>2612151000</v>
      </c>
      <c r="I41" t="s">
        <v>702</v>
      </c>
      <c r="J41" s="81">
        <v>1724371403</v>
      </c>
      <c r="K41">
        <v>0</v>
      </c>
      <c r="N41" t="s">
        <v>708</v>
      </c>
      <c r="O41">
        <v>99000021</v>
      </c>
      <c r="P41" t="s">
        <v>705</v>
      </c>
      <c r="Q41" s="80">
        <v>46215</v>
      </c>
    </row>
    <row r="42" spans="2:17" x14ac:dyDescent="0.25">
      <c r="J42" s="81">
        <f>SUM(J39:J41)</f>
        <v>-4420585830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CAEAB-B20A-4B61-B547-98F86968810C}">
  <sheetPr codeName="Feuil4"/>
  <dimension ref="A1:AA491"/>
  <sheetViews>
    <sheetView zoomScale="85" zoomScaleNormal="85" zoomScaleSheetLayoutView="85" workbookViewId="0">
      <pane ySplit="1" topLeftCell="A424" activePane="bottomLeft" state="frozen"/>
      <selection pane="bottomLeft" activeCell="E441" sqref="E441"/>
    </sheetView>
  </sheetViews>
  <sheetFormatPr baseColWidth="10" defaultRowHeight="15" x14ac:dyDescent="0.25"/>
  <cols>
    <col min="1" max="1" width="11" style="13"/>
    <col min="2" max="2" width="3.75" style="13" customWidth="1"/>
    <col min="3" max="3" width="10.875" style="13" bestFit="1" customWidth="1"/>
    <col min="4" max="4" width="11" style="12"/>
    <col min="5" max="5" width="13.375" style="12" customWidth="1"/>
    <col min="6" max="6" width="5.625" style="12" bestFit="1" customWidth="1"/>
    <col min="7" max="7" width="27.25" style="13" bestFit="1" customWidth="1"/>
    <col min="8" max="8" width="6.125" style="13" customWidth="1"/>
    <col min="9" max="9" width="27.625" style="13" customWidth="1"/>
    <col min="10" max="10" width="14.625" style="22" customWidth="1"/>
    <col min="11" max="11" width="15.625" style="15" bestFit="1" customWidth="1"/>
    <col min="12" max="12" width="14.625" style="16" customWidth="1"/>
    <col min="13" max="13" width="12.125" style="29" bestFit="1" customWidth="1"/>
    <col min="14" max="14" width="12.5" style="29" customWidth="1"/>
    <col min="15" max="15" width="12.125" style="29" customWidth="1"/>
    <col min="16" max="16" width="13.125" style="29" customWidth="1"/>
    <col min="17" max="17" width="10.625" style="13" customWidth="1"/>
    <col min="18" max="18" width="20.125" style="13" customWidth="1"/>
    <col min="19" max="19" width="18.875" style="13" customWidth="1"/>
    <col min="20" max="20" width="10.75" style="29" customWidth="1"/>
    <col min="21" max="21" width="10.75" style="13" customWidth="1"/>
    <col min="22" max="22" width="11" style="13"/>
    <col min="23" max="23" width="0" style="13" hidden="1" customWidth="1"/>
    <col min="24" max="24" width="21.25" style="13" hidden="1" customWidth="1"/>
    <col min="25" max="25" width="8.125" style="13" hidden="1" customWidth="1"/>
    <col min="26" max="26" width="21.25" style="13" bestFit="1" customWidth="1"/>
    <col min="27" max="16384" width="11" style="13"/>
  </cols>
  <sheetData>
    <row r="1" spans="1:27" s="1" customFormat="1" ht="50.25" customHeight="1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4" t="s">
        <v>10</v>
      </c>
      <c r="L1" s="5" t="s">
        <v>11</v>
      </c>
      <c r="M1" s="6" t="s">
        <v>12</v>
      </c>
      <c r="N1" s="6" t="s">
        <v>13</v>
      </c>
      <c r="O1" s="7" t="s">
        <v>14</v>
      </c>
      <c r="P1" s="6" t="s">
        <v>15</v>
      </c>
      <c r="Q1" s="1" t="s">
        <v>16</v>
      </c>
      <c r="R1" s="1" t="s">
        <v>17</v>
      </c>
      <c r="S1" s="1" t="s">
        <v>18</v>
      </c>
      <c r="T1" s="6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8" t="s">
        <v>25</v>
      </c>
      <c r="AA1" s="8"/>
    </row>
    <row r="2" spans="1:27" s="10" customFormat="1" x14ac:dyDescent="0.25">
      <c r="A2" s="47"/>
      <c r="B2" s="48">
        <v>718</v>
      </c>
      <c r="C2" s="48" t="s">
        <v>462</v>
      </c>
      <c r="D2" s="48" t="s">
        <v>65</v>
      </c>
      <c r="E2" s="48" t="s">
        <v>66</v>
      </c>
      <c r="F2" s="48" t="s">
        <v>192</v>
      </c>
      <c r="G2" s="48" t="s">
        <v>513</v>
      </c>
      <c r="H2" s="48" t="s">
        <v>31</v>
      </c>
      <c r="I2" s="48"/>
      <c r="J2" s="42"/>
      <c r="K2" s="43"/>
      <c r="L2" s="44"/>
      <c r="M2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" s="29">
        <f>Tableau13452729313335374951944325[[#This Row],[MONTANT OPERATION]]+Tableau13452729313335374951944325[[#This Row],[POS  FUSIONNEE CPTE AVANT OP]]</f>
        <v>0</v>
      </c>
      <c r="O2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" s="32" t="e">
        <f>Tableau13452729313335374951944325[[#This Row],[DEPASSEMENT TOTAL SUR AUTO
]]/-Tableau13452729313335374951944325[[#This Row],[MONTANT AUTO]]</f>
        <v>#VALUE!</v>
      </c>
      <c r="Q2" s="13"/>
      <c r="R2" s="13"/>
      <c r="S2" s="13"/>
      <c r="T2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" s="13">
        <f>ABS(Tableau13452729313335374951944325[[#This Row],[MONTANT DEPASSEMENT]]*0.005)</f>
        <v>0</v>
      </c>
      <c r="V2" s="13"/>
      <c r="W2" s="13"/>
      <c r="X2" s="13"/>
      <c r="Y2" s="13"/>
      <c r="Z2" s="49" t="s">
        <v>129</v>
      </c>
      <c r="AA2" s="46" t="s">
        <v>29</v>
      </c>
    </row>
    <row r="3" spans="1:27" s="10" customFormat="1" x14ac:dyDescent="0.25">
      <c r="A3" s="47"/>
      <c r="B3" s="48">
        <v>815</v>
      </c>
      <c r="C3" s="48" t="s">
        <v>632</v>
      </c>
      <c r="D3" s="48" t="s">
        <v>160</v>
      </c>
      <c r="E3" s="48" t="s">
        <v>361</v>
      </c>
      <c r="F3" s="48" t="s">
        <v>256</v>
      </c>
      <c r="G3" s="48" t="s">
        <v>634</v>
      </c>
      <c r="H3" s="48" t="s">
        <v>31</v>
      </c>
      <c r="I3" s="48"/>
      <c r="J3" s="42"/>
      <c r="K3" s="43"/>
      <c r="L3" s="44"/>
      <c r="M3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" s="29">
        <f>Tableau13452729313335374951944325[[#This Row],[MONTANT OPERATION]]+Tableau13452729313335374951944325[[#This Row],[POS  FUSIONNEE CPTE AVANT OP]]</f>
        <v>0</v>
      </c>
      <c r="O3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" s="32" t="e">
        <f>Tableau13452729313335374951944325[[#This Row],[DEPASSEMENT TOTAL SUR AUTO
]]/-Tableau13452729313335374951944325[[#This Row],[MONTANT AUTO]]</f>
        <v>#VALUE!</v>
      </c>
      <c r="Q3" s="13"/>
      <c r="R3" s="13"/>
      <c r="S3" s="13"/>
      <c r="T3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" s="13">
        <f>ABS(Tableau13452729313335374951944325[[#This Row],[MONTANT DEPASSEMENT]]*0.005)</f>
        <v>0</v>
      </c>
      <c r="V3" s="13"/>
      <c r="W3" s="13"/>
      <c r="X3" s="13"/>
      <c r="Y3" s="13"/>
      <c r="Z3" s="49" t="s">
        <v>128</v>
      </c>
      <c r="AA3" s="46" t="s">
        <v>32</v>
      </c>
    </row>
    <row r="4" spans="1:27" s="10" customFormat="1" x14ac:dyDescent="0.25">
      <c r="A4" s="47"/>
      <c r="B4" s="48">
        <v>815</v>
      </c>
      <c r="C4" s="48" t="s">
        <v>632</v>
      </c>
      <c r="D4" s="48" t="s">
        <v>160</v>
      </c>
      <c r="E4" s="48" t="s">
        <v>635</v>
      </c>
      <c r="F4" s="48" t="s">
        <v>406</v>
      </c>
      <c r="G4" s="48" t="s">
        <v>634</v>
      </c>
      <c r="H4" s="48" t="s">
        <v>47</v>
      </c>
      <c r="I4" s="48"/>
      <c r="J4" s="42"/>
      <c r="K4" s="43"/>
      <c r="L4" s="44"/>
      <c r="M4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" s="29">
        <f>Tableau13452729313335374951944325[[#This Row],[MONTANT OPERATION]]+Tableau13452729313335374951944325[[#This Row],[POS  FUSIONNEE CPTE AVANT OP]]</f>
        <v>0</v>
      </c>
      <c r="O4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" s="32" t="e">
        <f>Tableau13452729313335374951944325[[#This Row],[DEPASSEMENT TOTAL SUR AUTO
]]/-Tableau13452729313335374951944325[[#This Row],[MONTANT AUTO]]</f>
        <v>#VALUE!</v>
      </c>
      <c r="Q4" s="13"/>
      <c r="R4" s="13"/>
      <c r="S4" s="13"/>
      <c r="T4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" s="13">
        <f>ABS(Tableau13452729313335374951944325[[#This Row],[MONTANT DEPASSEMENT]]*0.005)</f>
        <v>0</v>
      </c>
      <c r="V4" s="13"/>
      <c r="W4" s="13"/>
      <c r="X4" s="13"/>
      <c r="Y4" s="13"/>
      <c r="Z4" s="49" t="s">
        <v>122</v>
      </c>
      <c r="AA4" s="46" t="s">
        <v>43</v>
      </c>
    </row>
    <row r="5" spans="1:27" s="10" customFormat="1" x14ac:dyDescent="0.25">
      <c r="A5" s="47"/>
      <c r="B5" s="48">
        <v>815</v>
      </c>
      <c r="C5" s="48" t="s">
        <v>652</v>
      </c>
      <c r="D5" s="48" t="s">
        <v>160</v>
      </c>
      <c r="E5" s="48" t="s">
        <v>361</v>
      </c>
      <c r="F5" s="48" t="s">
        <v>256</v>
      </c>
      <c r="G5" s="48" t="s">
        <v>634</v>
      </c>
      <c r="H5" s="48" t="s">
        <v>31</v>
      </c>
      <c r="I5" s="48"/>
      <c r="J5" s="42"/>
      <c r="K5" s="43"/>
      <c r="L5" s="44"/>
      <c r="M5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5" s="29">
        <f>Tableau13452729313335374951944325[[#This Row],[MONTANT OPERATION]]+Tableau13452729313335374951944325[[#This Row],[POS  FUSIONNEE CPTE AVANT OP]]</f>
        <v>0</v>
      </c>
      <c r="O5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5" s="32" t="e">
        <f>Tableau13452729313335374951944325[[#This Row],[DEPASSEMENT TOTAL SUR AUTO
]]/-Tableau13452729313335374951944325[[#This Row],[MONTANT AUTO]]</f>
        <v>#VALUE!</v>
      </c>
      <c r="Q5" s="13"/>
      <c r="R5" s="13"/>
      <c r="S5" s="13"/>
      <c r="T5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5" s="13">
        <f>ABS(Tableau13452729313335374951944325[[#This Row],[MONTANT DEPASSEMENT]]*0.005)</f>
        <v>0</v>
      </c>
      <c r="V5" s="13"/>
      <c r="W5" s="13"/>
      <c r="X5" s="13"/>
      <c r="Y5" s="13"/>
      <c r="Z5" s="49" t="s">
        <v>125</v>
      </c>
      <c r="AA5" s="46" t="s">
        <v>101</v>
      </c>
    </row>
    <row r="6" spans="1:27" s="10" customFormat="1" x14ac:dyDescent="0.25">
      <c r="A6" s="47"/>
      <c r="B6" s="48">
        <v>815</v>
      </c>
      <c r="C6" s="48" t="s">
        <v>652</v>
      </c>
      <c r="D6" s="48" t="s">
        <v>160</v>
      </c>
      <c r="E6" s="48" t="s">
        <v>635</v>
      </c>
      <c r="F6" s="48" t="s">
        <v>406</v>
      </c>
      <c r="G6" s="48" t="s">
        <v>634</v>
      </c>
      <c r="H6" s="48" t="s">
        <v>47</v>
      </c>
      <c r="I6" s="48"/>
      <c r="J6" s="42"/>
      <c r="K6" s="43"/>
      <c r="L6" s="44"/>
      <c r="M6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6" s="29">
        <f>Tableau13452729313335374951944325[[#This Row],[MONTANT OPERATION]]+Tableau13452729313335374951944325[[#This Row],[POS  FUSIONNEE CPTE AVANT OP]]</f>
        <v>0</v>
      </c>
      <c r="O6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6" s="32" t="e">
        <f>Tableau13452729313335374951944325[[#This Row],[DEPASSEMENT TOTAL SUR AUTO
]]/-Tableau13452729313335374951944325[[#This Row],[MONTANT AUTO]]</f>
        <v>#VALUE!</v>
      </c>
      <c r="Q6" s="13"/>
      <c r="R6" s="13"/>
      <c r="S6" s="13"/>
      <c r="T6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6" s="13">
        <f>ABS(Tableau13452729313335374951944325[[#This Row],[MONTANT DEPASSEMENT]]*0.005)</f>
        <v>0</v>
      </c>
      <c r="V6" s="13"/>
      <c r="W6" s="13"/>
      <c r="X6" s="13"/>
      <c r="Y6" s="13"/>
      <c r="Z6" s="49" t="s">
        <v>132</v>
      </c>
      <c r="AA6" s="46" t="s">
        <v>147</v>
      </c>
    </row>
    <row r="7" spans="1:27" s="10" customFormat="1" x14ac:dyDescent="0.25">
      <c r="A7" s="47"/>
      <c r="B7" s="48">
        <v>807</v>
      </c>
      <c r="C7" s="48" t="s">
        <v>442</v>
      </c>
      <c r="D7" s="48" t="s">
        <v>61</v>
      </c>
      <c r="E7" s="48" t="s">
        <v>62</v>
      </c>
      <c r="F7" s="48" t="s">
        <v>231</v>
      </c>
      <c r="G7" s="48" t="s">
        <v>628</v>
      </c>
      <c r="H7" s="48" t="s">
        <v>31</v>
      </c>
      <c r="I7" s="48"/>
      <c r="J7" s="42"/>
      <c r="K7" s="43"/>
      <c r="L7" s="44"/>
      <c r="M7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7" s="29">
        <f>Tableau13452729313335374951944325[[#This Row],[MONTANT OPERATION]]+Tableau13452729313335374951944325[[#This Row],[POS  FUSIONNEE CPTE AVANT OP]]</f>
        <v>0</v>
      </c>
      <c r="O7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7" s="32" t="e">
        <f>Tableau13452729313335374951944325[[#This Row],[DEPASSEMENT TOTAL SUR AUTO
]]/-Tableau13452729313335374951944325[[#This Row],[MONTANT AUTO]]</f>
        <v>#VALUE!</v>
      </c>
      <c r="Q7" s="13"/>
      <c r="R7" s="13"/>
      <c r="S7" s="13"/>
      <c r="T7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7" s="13">
        <f>ABS(Tableau13452729313335374951944325[[#This Row],[MONTANT DEPASSEMENT]]*0.005)</f>
        <v>0</v>
      </c>
      <c r="V7" s="13"/>
      <c r="W7" s="13"/>
      <c r="X7" s="13"/>
      <c r="Y7" s="13"/>
      <c r="Z7" s="49" t="s">
        <v>124</v>
      </c>
      <c r="AA7" s="8"/>
    </row>
    <row r="8" spans="1:27" s="10" customFormat="1" x14ac:dyDescent="0.25">
      <c r="A8" s="47"/>
      <c r="B8" s="48">
        <v>712</v>
      </c>
      <c r="C8" s="48" t="s">
        <v>431</v>
      </c>
      <c r="D8" s="48" t="s">
        <v>51</v>
      </c>
      <c r="E8" s="48" t="s">
        <v>52</v>
      </c>
      <c r="F8" s="48" t="s">
        <v>211</v>
      </c>
      <c r="G8" s="48" t="s">
        <v>527</v>
      </c>
      <c r="H8" s="48" t="s">
        <v>47</v>
      </c>
      <c r="I8" s="48"/>
      <c r="J8" s="42"/>
      <c r="K8" s="43"/>
      <c r="L8" s="44"/>
      <c r="M8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8" s="29">
        <f>Tableau13452729313335374951944325[[#This Row],[MONTANT OPERATION]]+Tableau13452729313335374951944325[[#This Row],[POS  FUSIONNEE CPTE AVANT OP]]</f>
        <v>0</v>
      </c>
      <c r="O8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8" s="32" t="e">
        <f>Tableau13452729313335374951944325[[#This Row],[DEPASSEMENT TOTAL SUR AUTO
]]/-Tableau13452729313335374951944325[[#This Row],[MONTANT AUTO]]</f>
        <v>#VALUE!</v>
      </c>
      <c r="Q8" s="13"/>
      <c r="R8" s="13"/>
      <c r="S8" s="13"/>
      <c r="T8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8" s="13">
        <f>ABS(Tableau13452729313335374951944325[[#This Row],[MONTANT DEPASSEMENT]]*0.005)</f>
        <v>0</v>
      </c>
      <c r="V8" s="13"/>
      <c r="W8" s="13"/>
      <c r="X8" s="13"/>
      <c r="Y8" s="13"/>
      <c r="Z8" s="49" t="s">
        <v>53</v>
      </c>
      <c r="AA8" s="8"/>
    </row>
    <row r="9" spans="1:27" s="10" customFormat="1" x14ac:dyDescent="0.25">
      <c r="A9" s="47"/>
      <c r="B9" s="48">
        <v>712</v>
      </c>
      <c r="C9" s="48" t="s">
        <v>431</v>
      </c>
      <c r="D9" s="48" t="s">
        <v>51</v>
      </c>
      <c r="E9" s="48" t="s">
        <v>52</v>
      </c>
      <c r="F9" s="48" t="s">
        <v>102</v>
      </c>
      <c r="G9" s="48" t="s">
        <v>527</v>
      </c>
      <c r="H9" s="48" t="s">
        <v>31</v>
      </c>
      <c r="I9" s="48"/>
      <c r="J9" s="42"/>
      <c r="K9" s="43"/>
      <c r="L9" s="44"/>
      <c r="M9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9" s="29">
        <f>Tableau13452729313335374951944325[[#This Row],[MONTANT OPERATION]]+Tableau13452729313335374951944325[[#This Row],[POS  FUSIONNEE CPTE AVANT OP]]</f>
        <v>0</v>
      </c>
      <c r="O9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9" s="32" t="e">
        <f>Tableau13452729313335374951944325[[#This Row],[DEPASSEMENT TOTAL SUR AUTO
]]/-Tableau13452729313335374951944325[[#This Row],[MONTANT AUTO]]</f>
        <v>#VALUE!</v>
      </c>
      <c r="Q9" s="13"/>
      <c r="R9" s="13"/>
      <c r="S9" s="13"/>
      <c r="T9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9" s="13">
        <f>ABS(Tableau13452729313335374951944325[[#This Row],[MONTANT DEPASSEMENT]]*0.005)</f>
        <v>0</v>
      </c>
      <c r="V9" s="13"/>
      <c r="W9" s="13"/>
      <c r="X9" s="13"/>
      <c r="Y9" s="13"/>
      <c r="Z9" s="49" t="s">
        <v>141</v>
      </c>
      <c r="AA9" s="8"/>
    </row>
    <row r="10" spans="1:27" s="10" customFormat="1" x14ac:dyDescent="0.25">
      <c r="A10" s="47"/>
      <c r="B10" s="48">
        <v>711</v>
      </c>
      <c r="C10" s="48" t="s">
        <v>427</v>
      </c>
      <c r="D10" s="48" t="s">
        <v>310</v>
      </c>
      <c r="E10" s="48" t="s">
        <v>311</v>
      </c>
      <c r="F10" s="48" t="s">
        <v>117</v>
      </c>
      <c r="G10" s="48" t="s">
        <v>509</v>
      </c>
      <c r="H10" s="48" t="s">
        <v>31</v>
      </c>
      <c r="I10" s="48"/>
      <c r="J10" s="42"/>
      <c r="K10" s="43"/>
      <c r="L10" s="44"/>
      <c r="M10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0" s="29">
        <f>Tableau13452729313335374951944325[[#This Row],[MONTANT OPERATION]]+Tableau13452729313335374951944325[[#This Row],[POS  FUSIONNEE CPTE AVANT OP]]</f>
        <v>0</v>
      </c>
      <c r="O10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0" s="32" t="e">
        <f>Tableau13452729313335374951944325[[#This Row],[DEPASSEMENT TOTAL SUR AUTO
]]/-Tableau13452729313335374951944325[[#This Row],[MONTANT AUTO]]</f>
        <v>#VALUE!</v>
      </c>
      <c r="Q10" s="13"/>
      <c r="R10" s="13"/>
      <c r="S10" s="13"/>
      <c r="T10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0" s="13">
        <f>ABS(Tableau13452729313335374951944325[[#This Row],[MONTANT DEPASSEMENT]]*0.005)</f>
        <v>0</v>
      </c>
      <c r="V10" s="13"/>
      <c r="W10" s="13"/>
      <c r="X10" s="13"/>
      <c r="Y10" s="13"/>
      <c r="Z10" s="49" t="s">
        <v>131</v>
      </c>
      <c r="AA10" s="8"/>
    </row>
    <row r="11" spans="1:27" s="10" customFormat="1" x14ac:dyDescent="0.25">
      <c r="A11" s="47"/>
      <c r="B11" s="48">
        <v>705</v>
      </c>
      <c r="C11" s="48" t="s">
        <v>429</v>
      </c>
      <c r="D11" s="48" t="s">
        <v>486</v>
      </c>
      <c r="E11" s="48" t="s">
        <v>487</v>
      </c>
      <c r="F11" s="48" t="s">
        <v>96</v>
      </c>
      <c r="G11" s="48" t="s">
        <v>488</v>
      </c>
      <c r="H11" s="48" t="s">
        <v>41</v>
      </c>
      <c r="I11" s="48"/>
      <c r="J11" s="23"/>
      <c r="K11" s="15"/>
      <c r="L11" s="16"/>
      <c r="M11" s="29">
        <v>1363950</v>
      </c>
      <c r="N11" s="29">
        <v>-246385717</v>
      </c>
      <c r="O11" s="29" t="s">
        <v>78</v>
      </c>
      <c r="P11" s="32" t="e">
        <v>#VALUE!</v>
      </c>
      <c r="Q11" s="13"/>
      <c r="R11" s="13"/>
      <c r="S11" s="13" t="s">
        <v>101</v>
      </c>
      <c r="T11" s="29">
        <f>IF(Tableau13452729313335374951944325[[#This Row],[0,5% du dép]]&lt;5000,5000,IF(Tableau13452729313335374951944325[[#This Row],[0,5% du dép]]&gt;50000,50000,Tableau13452729313335374951944325[[#This Row],[0,5% du dép]]))</f>
        <v>6819.75</v>
      </c>
      <c r="U11" s="13">
        <f>ABS(Tableau13452729313335374951944325[[#This Row],[MONTANT DEPASSEMENT]]*0.005)</f>
        <v>6819.75</v>
      </c>
      <c r="V11" s="13"/>
      <c r="W11" s="13"/>
      <c r="X11" s="13"/>
      <c r="Y11" s="13"/>
      <c r="Z11" s="49" t="s">
        <v>143</v>
      </c>
      <c r="AA11" s="8"/>
    </row>
    <row r="12" spans="1:27" s="10" customFormat="1" x14ac:dyDescent="0.25">
      <c r="A12" s="47"/>
      <c r="B12" s="48">
        <v>712</v>
      </c>
      <c r="C12" s="48" t="s">
        <v>431</v>
      </c>
      <c r="D12" s="48" t="s">
        <v>520</v>
      </c>
      <c r="E12" s="48" t="s">
        <v>521</v>
      </c>
      <c r="F12" s="48" t="s">
        <v>409</v>
      </c>
      <c r="G12" s="48" t="s">
        <v>522</v>
      </c>
      <c r="H12" s="48" t="s">
        <v>31</v>
      </c>
      <c r="I12" s="48"/>
      <c r="J12" s="42"/>
      <c r="K12" s="43"/>
      <c r="L12" s="44"/>
      <c r="M12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2" s="29">
        <f>Tableau13452729313335374951944325[[#This Row],[MONTANT OPERATION]]+Tableau13452729313335374951944325[[#This Row],[POS  FUSIONNEE CPTE AVANT OP]]</f>
        <v>0</v>
      </c>
      <c r="O12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2" s="32" t="e">
        <f>Tableau13452729313335374951944325[[#This Row],[DEPASSEMENT TOTAL SUR AUTO
]]/-Tableau13452729313335374951944325[[#This Row],[MONTANT AUTO]]</f>
        <v>#VALUE!</v>
      </c>
      <c r="Q12" s="13"/>
      <c r="R12" s="13"/>
      <c r="S12" s="13"/>
      <c r="T12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2" s="13">
        <f>ABS(Tableau13452729313335374951944325[[#This Row],[MONTANT DEPASSEMENT]]*0.005)</f>
        <v>0</v>
      </c>
      <c r="V12" s="13"/>
      <c r="W12" s="13"/>
      <c r="X12" s="13"/>
      <c r="Y12" s="13"/>
      <c r="Z12" s="49" t="s">
        <v>142</v>
      </c>
      <c r="AA12" s="8"/>
    </row>
    <row r="13" spans="1:27" s="10" customFormat="1" x14ac:dyDescent="0.25">
      <c r="A13" s="47"/>
      <c r="B13" s="48">
        <v>505</v>
      </c>
      <c r="C13" s="48" t="s">
        <v>579</v>
      </c>
      <c r="D13" s="48" t="s">
        <v>313</v>
      </c>
      <c r="E13" s="48" t="s">
        <v>314</v>
      </c>
      <c r="F13" s="48" t="s">
        <v>273</v>
      </c>
      <c r="G13" s="48" t="s">
        <v>580</v>
      </c>
      <c r="H13" s="48" t="s">
        <v>31</v>
      </c>
      <c r="I13" s="48"/>
      <c r="J13" s="42"/>
      <c r="K13" s="43"/>
      <c r="L13" s="44"/>
      <c r="M13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3" s="29">
        <f>Tableau13452729313335374951944325[[#This Row],[MONTANT OPERATION]]+Tableau13452729313335374951944325[[#This Row],[POS  FUSIONNEE CPTE AVANT OP]]</f>
        <v>0</v>
      </c>
      <c r="O13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3" s="32" t="e">
        <f>Tableau13452729313335374951944325[[#This Row],[DEPASSEMENT TOTAL SUR AUTO
]]/-Tableau13452729313335374951944325[[#This Row],[MONTANT AUTO]]</f>
        <v>#VALUE!</v>
      </c>
      <c r="Q13" s="13"/>
      <c r="R13" s="13"/>
      <c r="S13" s="13"/>
      <c r="T13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3" s="13">
        <f>ABS(Tableau13452729313335374951944325[[#This Row],[MONTANT DEPASSEMENT]]*0.005)</f>
        <v>0</v>
      </c>
      <c r="V13" s="13"/>
      <c r="W13" s="13"/>
      <c r="X13" s="13"/>
      <c r="Y13" s="13"/>
      <c r="Z13" s="49" t="s">
        <v>130</v>
      </c>
      <c r="AA13" s="8"/>
    </row>
    <row r="14" spans="1:27" s="10" customFormat="1" ht="15" customHeight="1" x14ac:dyDescent="0.25">
      <c r="A14" s="47"/>
      <c r="B14" s="48">
        <v>703</v>
      </c>
      <c r="C14" s="48" t="s">
        <v>453</v>
      </c>
      <c r="D14" s="48" t="s">
        <v>234</v>
      </c>
      <c r="E14" s="48" t="s">
        <v>235</v>
      </c>
      <c r="F14" s="48" t="s">
        <v>202</v>
      </c>
      <c r="G14" s="48" t="s">
        <v>461</v>
      </c>
      <c r="H14" s="48" t="s">
        <v>41</v>
      </c>
      <c r="I14" s="48"/>
      <c r="J14" s="23"/>
      <c r="K14" s="15"/>
      <c r="L14" s="16"/>
      <c r="M14" s="29">
        <v>49675410</v>
      </c>
      <c r="N14" s="29">
        <v>-49675410</v>
      </c>
      <c r="O14" s="29" t="s">
        <v>78</v>
      </c>
      <c r="P14" s="32" t="e">
        <v>#VALUE!</v>
      </c>
      <c r="Q14" s="13"/>
      <c r="R14" s="13"/>
      <c r="S14" s="13" t="s">
        <v>43</v>
      </c>
      <c r="T14" s="29">
        <f>IF(Tableau13452729313335374951944325[[#This Row],[0,5% du dép]]&lt;5000,5000,IF(Tableau13452729313335374951944325[[#This Row],[0,5% du dép]]&gt;50000,50000,Tableau13452729313335374951944325[[#This Row],[0,5% du dép]]))</f>
        <v>50000</v>
      </c>
      <c r="U14" s="13">
        <f>ABS(Tableau13452729313335374951944325[[#This Row],[MONTANT DEPASSEMENT]]*0.005)</f>
        <v>248377.05000000002</v>
      </c>
      <c r="V14" s="13"/>
      <c r="W14" s="13"/>
      <c r="X14" s="13"/>
      <c r="Y14" s="13"/>
      <c r="Z14" s="50" t="s">
        <v>99</v>
      </c>
      <c r="AA14" s="8"/>
    </row>
    <row r="15" spans="1:27" s="10" customFormat="1" x14ac:dyDescent="0.25">
      <c r="A15" s="47"/>
      <c r="B15" s="48">
        <v>803</v>
      </c>
      <c r="C15" s="48" t="s">
        <v>447</v>
      </c>
      <c r="D15" s="48" t="s">
        <v>625</v>
      </c>
      <c r="E15" s="48" t="s">
        <v>626</v>
      </c>
      <c r="F15" s="48" t="s">
        <v>297</v>
      </c>
      <c r="G15" s="48" t="s">
        <v>627</v>
      </c>
      <c r="H15" s="48" t="s">
        <v>31</v>
      </c>
      <c r="I15" s="48"/>
      <c r="J15" s="42"/>
      <c r="K15" s="43"/>
      <c r="L15" s="44"/>
      <c r="M15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5" s="29">
        <f>Tableau13452729313335374951944325[[#This Row],[MONTANT OPERATION]]+Tableau13452729313335374951944325[[#This Row],[POS  FUSIONNEE CPTE AVANT OP]]</f>
        <v>0</v>
      </c>
      <c r="O15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5" s="32" t="e">
        <f>Tableau13452729313335374951944325[[#This Row],[DEPASSEMENT TOTAL SUR AUTO
]]/-Tableau13452729313335374951944325[[#This Row],[MONTANT AUTO]]</f>
        <v>#VALUE!</v>
      </c>
      <c r="Q15" s="13"/>
      <c r="R15" s="13"/>
      <c r="S15" s="13"/>
      <c r="T15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5" s="13">
        <f>ABS(Tableau13452729313335374951944325[[#This Row],[MONTANT DEPASSEMENT]]*0.005)</f>
        <v>0</v>
      </c>
      <c r="V15" s="13"/>
      <c r="W15" s="13"/>
      <c r="X15" s="13"/>
      <c r="Y15" s="13"/>
      <c r="Z15" s="49" t="s">
        <v>123</v>
      </c>
      <c r="AA15" s="8"/>
    </row>
    <row r="16" spans="1:27" s="1" customFormat="1" x14ac:dyDescent="0.25">
      <c r="A16" s="47"/>
      <c r="B16" s="48">
        <v>803</v>
      </c>
      <c r="C16" s="48" t="s">
        <v>447</v>
      </c>
      <c r="D16" s="48" t="s">
        <v>625</v>
      </c>
      <c r="E16" s="48" t="s">
        <v>651</v>
      </c>
      <c r="F16" s="48" t="s">
        <v>293</v>
      </c>
      <c r="G16" s="48" t="s">
        <v>627</v>
      </c>
      <c r="H16" s="48" t="s">
        <v>31</v>
      </c>
      <c r="I16" s="48"/>
      <c r="J16" s="42"/>
      <c r="K16" s="43"/>
      <c r="L16" s="44"/>
      <c r="M16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6" s="29">
        <f>Tableau13452729313335374951944325[[#This Row],[MONTANT OPERATION]]+Tableau13452729313335374951944325[[#This Row],[POS  FUSIONNEE CPTE AVANT OP]]</f>
        <v>0</v>
      </c>
      <c r="O16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6" s="32" t="e">
        <f>Tableau13452729313335374951944325[[#This Row],[DEPASSEMENT TOTAL SUR AUTO
]]/-Tableau13452729313335374951944325[[#This Row],[MONTANT AUTO]]</f>
        <v>#VALUE!</v>
      </c>
      <c r="Q16" s="13"/>
      <c r="R16" s="13"/>
      <c r="S16" s="13"/>
      <c r="T16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6" s="13">
        <f>ABS(Tableau13452729313335374951944325[[#This Row],[MONTANT DEPASSEMENT]]*0.005)</f>
        <v>0</v>
      </c>
      <c r="V16" s="13"/>
      <c r="W16" s="13"/>
      <c r="X16" s="13"/>
      <c r="Y16" s="13"/>
      <c r="Z16" s="50" t="s">
        <v>112</v>
      </c>
      <c r="AA16" s="8"/>
    </row>
    <row r="17" spans="1:27" x14ac:dyDescent="0.25">
      <c r="A17" s="47"/>
      <c r="B17" s="48">
        <v>703</v>
      </c>
      <c r="C17" s="48" t="s">
        <v>453</v>
      </c>
      <c r="D17" s="48" t="s">
        <v>269</v>
      </c>
      <c r="E17" s="48" t="s">
        <v>270</v>
      </c>
      <c r="F17" s="48" t="s">
        <v>205</v>
      </c>
      <c r="G17" s="48" t="s">
        <v>472</v>
      </c>
      <c r="H17" s="48" t="s">
        <v>271</v>
      </c>
      <c r="I17" s="48"/>
      <c r="J17" s="23"/>
      <c r="M17" s="29">
        <v>34061</v>
      </c>
      <c r="N17" s="29">
        <v>-60622857</v>
      </c>
      <c r="O17" s="29">
        <v>622857</v>
      </c>
      <c r="P17" s="32">
        <v>1.038095E-2</v>
      </c>
      <c r="S17" s="13" t="s">
        <v>29</v>
      </c>
      <c r="T17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7" s="13">
        <f>ABS(Tableau13452729313335374951944325[[#This Row],[MONTANT DEPASSEMENT]]*0.005)</f>
        <v>170.30500000000001</v>
      </c>
      <c r="Z17" s="45" t="s">
        <v>83</v>
      </c>
      <c r="AA17" s="8"/>
    </row>
    <row r="18" spans="1:27" x14ac:dyDescent="0.25">
      <c r="A18" s="47"/>
      <c r="B18" s="48">
        <v>715</v>
      </c>
      <c r="C18" s="48" t="s">
        <v>439</v>
      </c>
      <c r="D18" s="48" t="s">
        <v>350</v>
      </c>
      <c r="E18" s="48" t="s">
        <v>351</v>
      </c>
      <c r="F18" s="48" t="s">
        <v>229</v>
      </c>
      <c r="G18" s="48" t="s">
        <v>552</v>
      </c>
      <c r="H18" s="48" t="s">
        <v>31</v>
      </c>
      <c r="I18" s="48"/>
      <c r="J18" s="42"/>
      <c r="K18" s="43"/>
      <c r="L18" s="44"/>
      <c r="M18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8" s="29">
        <f>Tableau13452729313335374951944325[[#This Row],[MONTANT OPERATION]]+Tableau13452729313335374951944325[[#This Row],[POS  FUSIONNEE CPTE AVANT OP]]</f>
        <v>0</v>
      </c>
      <c r="O18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8" s="32" t="e">
        <f>Tableau13452729313335374951944325[[#This Row],[DEPASSEMENT TOTAL SUR AUTO
]]/-Tableau13452729313335374951944325[[#This Row],[MONTANT AUTO]]</f>
        <v>#VALUE!</v>
      </c>
      <c r="T18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8" s="13">
        <f>ABS(Tableau13452729313335374951944325[[#This Row],[MONTANT DEPASSEMENT]]*0.005)</f>
        <v>0</v>
      </c>
      <c r="Z18" s="49" t="s">
        <v>135</v>
      </c>
      <c r="AA18" s="8"/>
    </row>
    <row r="19" spans="1:27" x14ac:dyDescent="0.25">
      <c r="A19" s="47"/>
      <c r="B19" s="48">
        <v>505</v>
      </c>
      <c r="C19" s="48" t="s">
        <v>579</v>
      </c>
      <c r="D19" s="48" t="s">
        <v>663</v>
      </c>
      <c r="E19" s="48" t="s">
        <v>664</v>
      </c>
      <c r="F19" s="48" t="s">
        <v>303</v>
      </c>
      <c r="G19" s="48" t="s">
        <v>665</v>
      </c>
      <c r="H19" s="48" t="s">
        <v>31</v>
      </c>
      <c r="I19" s="48"/>
      <c r="J19" s="42"/>
      <c r="K19" s="43"/>
      <c r="L19" s="44"/>
      <c r="M19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9" s="29">
        <f>Tableau13452729313335374951944325[[#This Row],[MONTANT OPERATION]]+Tableau13452729313335374951944325[[#This Row],[POS  FUSIONNEE CPTE AVANT OP]]</f>
        <v>0</v>
      </c>
      <c r="O19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9" s="32" t="e">
        <f>Tableau13452729313335374951944325[[#This Row],[DEPASSEMENT TOTAL SUR AUTO
]]/-Tableau13452729313335374951944325[[#This Row],[MONTANT AUTO]]</f>
        <v>#VALUE!</v>
      </c>
      <c r="T19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9" s="13">
        <f>ABS(Tableau13452729313335374951944325[[#This Row],[MONTANT DEPASSEMENT]]*0.005)</f>
        <v>0</v>
      </c>
      <c r="Z19" s="49" t="s">
        <v>137</v>
      </c>
      <c r="AA19" s="8"/>
    </row>
    <row r="20" spans="1:27" x14ac:dyDescent="0.25">
      <c r="A20" s="47"/>
      <c r="B20" s="48">
        <v>712</v>
      </c>
      <c r="C20" s="48" t="s">
        <v>431</v>
      </c>
      <c r="D20" s="48" t="s">
        <v>369</v>
      </c>
      <c r="E20" s="48" t="s">
        <v>333</v>
      </c>
      <c r="F20" s="48" t="s">
        <v>26</v>
      </c>
      <c r="G20" s="48" t="s">
        <v>393</v>
      </c>
      <c r="H20" s="48" t="s">
        <v>31</v>
      </c>
      <c r="I20" s="48"/>
      <c r="J20" s="42"/>
      <c r="K20" s="43"/>
      <c r="L20" s="44"/>
      <c r="M20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0" s="29">
        <f>Tableau13452729313335374951944325[[#This Row],[MONTANT OPERATION]]+Tableau13452729313335374951944325[[#This Row],[POS  FUSIONNEE CPTE AVANT OP]]</f>
        <v>0</v>
      </c>
      <c r="O20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0" s="32" t="e">
        <f>Tableau13452729313335374951944325[[#This Row],[DEPASSEMENT TOTAL SUR AUTO
]]/-Tableau13452729313335374951944325[[#This Row],[MONTANT AUTO]]</f>
        <v>#VALUE!</v>
      </c>
      <c r="T20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0" s="13">
        <f>ABS(Tableau13452729313335374951944325[[#This Row],[MONTANT DEPASSEMENT]]*0.005)</f>
        <v>0</v>
      </c>
      <c r="Z20" s="49" t="s">
        <v>138</v>
      </c>
      <c r="AA20" s="8"/>
    </row>
    <row r="21" spans="1:27" x14ac:dyDescent="0.25">
      <c r="A21" s="47"/>
      <c r="B21" s="48">
        <v>556</v>
      </c>
      <c r="C21" s="48" t="s">
        <v>639</v>
      </c>
      <c r="D21" s="48" t="s">
        <v>415</v>
      </c>
      <c r="E21" s="48" t="s">
        <v>416</v>
      </c>
      <c r="F21" s="48" t="s">
        <v>203</v>
      </c>
      <c r="G21" s="48" t="s">
        <v>640</v>
      </c>
      <c r="H21" s="48" t="s">
        <v>58</v>
      </c>
      <c r="I21" s="48"/>
      <c r="J21" s="42"/>
      <c r="K21" s="43"/>
      <c r="L21" s="44"/>
      <c r="M21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1" s="29">
        <f>Tableau13452729313335374951944325[[#This Row],[MONTANT OPERATION]]+Tableau13452729313335374951944325[[#This Row],[POS  FUSIONNEE CPTE AVANT OP]]</f>
        <v>0</v>
      </c>
      <c r="O21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1" s="32" t="e">
        <f>Tableau13452729313335374951944325[[#This Row],[DEPASSEMENT TOTAL SUR AUTO
]]/-Tableau13452729313335374951944325[[#This Row],[MONTANT AUTO]]</f>
        <v>#VALUE!</v>
      </c>
      <c r="T21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1" s="13">
        <f>ABS(Tableau13452729313335374951944325[[#This Row],[MONTANT DEPASSEMENT]]*0.005)</f>
        <v>0</v>
      </c>
      <c r="Z21" s="49" t="s">
        <v>144</v>
      </c>
      <c r="AA21" s="8"/>
    </row>
    <row r="22" spans="1:27" x14ac:dyDescent="0.25">
      <c r="A22" s="47"/>
      <c r="B22" s="48">
        <v>800</v>
      </c>
      <c r="C22" s="48" t="s">
        <v>444</v>
      </c>
      <c r="D22" s="48" t="s">
        <v>97</v>
      </c>
      <c r="E22" s="48" t="s">
        <v>98</v>
      </c>
      <c r="F22" s="48" t="s">
        <v>81</v>
      </c>
      <c r="G22" s="48" t="s">
        <v>445</v>
      </c>
      <c r="H22" s="48" t="s">
        <v>31</v>
      </c>
      <c r="I22" s="48"/>
      <c r="J22" s="14"/>
      <c r="M22" s="17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2" s="17">
        <f>Tableau13452729313335374951944325[[#This Row],[MONTANT OPERATION]]+Tableau13452729313335374951944325[[#This Row],[POS  FUSIONNEE CPTE AVANT OP]]</f>
        <v>0</v>
      </c>
      <c r="O22" s="17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2" s="28" t="e">
        <f>Tableau13452729313335374951944325[[#This Row],[DEPASSEMENT TOTAL SUR AUTO
]]/-Tableau13452729313335374951944325[[#This Row],[MONTANT AUTO]]</f>
        <v>#VALUE!</v>
      </c>
      <c r="Q22" s="10"/>
      <c r="R22" s="10" t="s">
        <v>54</v>
      </c>
      <c r="S22" s="10" t="s">
        <v>29</v>
      </c>
      <c r="T22" s="17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2" s="10">
        <f>ABS(Tableau13452729313335374951944325[[#This Row],[MONTANT DEPASSEMENT]]*0.005)</f>
        <v>0</v>
      </c>
      <c r="V22" s="10" t="s">
        <v>30</v>
      </c>
      <c r="W22" s="10"/>
      <c r="X22" s="10"/>
      <c r="Y22" s="10"/>
      <c r="Z22" s="49" t="s">
        <v>145</v>
      </c>
      <c r="AA22" s="8"/>
    </row>
    <row r="23" spans="1:27" x14ac:dyDescent="0.25">
      <c r="A23" s="47"/>
      <c r="B23" s="48">
        <v>718</v>
      </c>
      <c r="C23" s="48" t="s">
        <v>462</v>
      </c>
      <c r="D23" s="48" t="s">
        <v>421</v>
      </c>
      <c r="E23" s="48" t="s">
        <v>422</v>
      </c>
      <c r="F23" s="48" t="s">
        <v>268</v>
      </c>
      <c r="G23" s="48" t="s">
        <v>577</v>
      </c>
      <c r="H23" s="48" t="s">
        <v>31</v>
      </c>
      <c r="I23" s="48"/>
      <c r="J23" s="42"/>
      <c r="K23" s="43"/>
      <c r="L23" s="44"/>
      <c r="M23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3" s="29">
        <f>Tableau13452729313335374951944325[[#This Row],[MONTANT OPERATION]]+Tableau13452729313335374951944325[[#This Row],[POS  FUSIONNEE CPTE AVANT OP]]</f>
        <v>0</v>
      </c>
      <c r="O23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3" s="32" t="e">
        <f>Tableau13452729313335374951944325[[#This Row],[DEPASSEMENT TOTAL SUR AUTO
]]/-Tableau13452729313335374951944325[[#This Row],[MONTANT AUTO]]</f>
        <v>#VALUE!</v>
      </c>
      <c r="T23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3" s="13">
        <f>ABS(Tableau13452729313335374951944325[[#This Row],[MONTANT DEPASSEMENT]]*0.005)</f>
        <v>0</v>
      </c>
      <c r="Z23" s="49" t="s">
        <v>146</v>
      </c>
      <c r="AA23" s="8"/>
    </row>
    <row r="24" spans="1:27" x14ac:dyDescent="0.25">
      <c r="A24" s="47"/>
      <c r="B24" s="48">
        <v>715</v>
      </c>
      <c r="C24" s="48" t="s">
        <v>439</v>
      </c>
      <c r="D24" s="48" t="s">
        <v>194</v>
      </c>
      <c r="E24" s="48" t="s">
        <v>195</v>
      </c>
      <c r="F24" s="48" t="s">
        <v>196</v>
      </c>
      <c r="G24" s="48" t="s">
        <v>560</v>
      </c>
      <c r="H24" s="48" t="s">
        <v>27</v>
      </c>
      <c r="I24" s="48"/>
      <c r="J24" s="42"/>
      <c r="K24" s="43"/>
      <c r="L24" s="44"/>
      <c r="M24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4" s="29">
        <f>Tableau13452729313335374951944325[[#This Row],[MONTANT OPERATION]]+Tableau13452729313335374951944325[[#This Row],[POS  FUSIONNEE CPTE AVANT OP]]</f>
        <v>0</v>
      </c>
      <c r="O24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4" s="32" t="e">
        <f>Tableau13452729313335374951944325[[#This Row],[DEPASSEMENT TOTAL SUR AUTO
]]/-Tableau13452729313335374951944325[[#This Row],[MONTANT AUTO]]</f>
        <v>#VALUE!</v>
      </c>
      <c r="T24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4" s="13">
        <f>ABS(Tableau13452729313335374951944325[[#This Row],[MONTANT DEPASSEMENT]]*0.005)</f>
        <v>0</v>
      </c>
      <c r="Z24" s="45" t="s">
        <v>72</v>
      </c>
      <c r="AA24" s="8"/>
    </row>
    <row r="25" spans="1:27" x14ac:dyDescent="0.25">
      <c r="A25" s="47"/>
      <c r="B25" s="48">
        <v>807</v>
      </c>
      <c r="C25" s="48" t="s">
        <v>442</v>
      </c>
      <c r="D25" s="48" t="s">
        <v>35</v>
      </c>
      <c r="E25" s="48" t="s">
        <v>36</v>
      </c>
      <c r="F25" s="48" t="s">
        <v>37</v>
      </c>
      <c r="G25" s="48" t="s">
        <v>608</v>
      </c>
      <c r="H25" s="48" t="s">
        <v>31</v>
      </c>
      <c r="I25" s="48"/>
      <c r="J25" s="42"/>
      <c r="K25" s="43"/>
      <c r="L25" s="44"/>
      <c r="M25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5" s="29">
        <f>Tableau13452729313335374951944325[[#This Row],[MONTANT OPERATION]]+Tableau13452729313335374951944325[[#This Row],[POS  FUSIONNEE CPTE AVANT OP]]</f>
        <v>0</v>
      </c>
      <c r="O25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5" s="32" t="e">
        <f>Tableau13452729313335374951944325[[#This Row],[DEPASSEMENT TOTAL SUR AUTO
]]/-Tableau13452729313335374951944325[[#This Row],[MONTANT AUTO]]</f>
        <v>#VALUE!</v>
      </c>
      <c r="T25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5" s="13">
        <f>ABS(Tableau13452729313335374951944325[[#This Row],[MONTANT DEPASSEMENT]]*0.005)</f>
        <v>0</v>
      </c>
      <c r="Z25" s="49" t="s">
        <v>133</v>
      </c>
      <c r="AA25" s="8"/>
    </row>
    <row r="26" spans="1:27" x14ac:dyDescent="0.25">
      <c r="A26" s="47"/>
      <c r="B26" s="48">
        <v>705</v>
      </c>
      <c r="C26" s="48" t="s">
        <v>429</v>
      </c>
      <c r="D26" s="48" t="s">
        <v>236</v>
      </c>
      <c r="E26" s="48" t="s">
        <v>237</v>
      </c>
      <c r="F26" s="48" t="s">
        <v>231</v>
      </c>
      <c r="G26" s="48" t="s">
        <v>482</v>
      </c>
      <c r="H26" s="48" t="s">
        <v>41</v>
      </c>
      <c r="I26" s="48"/>
      <c r="J26" s="23"/>
      <c r="M26" s="29">
        <v>9815989</v>
      </c>
      <c r="N26" s="29">
        <v>-237099752</v>
      </c>
      <c r="O26" s="29" t="s">
        <v>78</v>
      </c>
      <c r="P26" s="32" t="e">
        <v>#VALUE!</v>
      </c>
      <c r="S26" s="13" t="s">
        <v>101</v>
      </c>
      <c r="T26" s="29">
        <f>IF(Tableau13452729313335374951944325[[#This Row],[0,5% du dép]]&lt;5000,5000,IF(Tableau13452729313335374951944325[[#This Row],[0,5% du dép]]&gt;50000,50000,Tableau13452729313335374951944325[[#This Row],[0,5% du dép]]))</f>
        <v>49079.945</v>
      </c>
      <c r="U26" s="13">
        <f>ABS(Tableau13452729313335374951944325[[#This Row],[MONTANT DEPASSEMENT]]*0.005)</f>
        <v>49079.945</v>
      </c>
      <c r="Z26" s="51" t="s">
        <v>28</v>
      </c>
      <c r="AA26" s="8"/>
    </row>
    <row r="27" spans="1:27" x14ac:dyDescent="0.25">
      <c r="A27" s="47"/>
      <c r="B27" s="48">
        <v>712</v>
      </c>
      <c r="C27" s="48" t="s">
        <v>431</v>
      </c>
      <c r="D27" s="48" t="s">
        <v>213</v>
      </c>
      <c r="E27" s="48" t="s">
        <v>214</v>
      </c>
      <c r="F27" s="48" t="s">
        <v>89</v>
      </c>
      <c r="G27" s="48" t="s">
        <v>654</v>
      </c>
      <c r="H27" s="48" t="s">
        <v>31</v>
      </c>
      <c r="I27" s="48"/>
      <c r="J27" s="42"/>
      <c r="K27" s="43"/>
      <c r="L27" s="44"/>
      <c r="M27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7" s="29">
        <f>Tableau13452729313335374951944325[[#This Row],[MONTANT OPERATION]]+Tableau13452729313335374951944325[[#This Row],[POS  FUSIONNEE CPTE AVANT OP]]</f>
        <v>0</v>
      </c>
      <c r="O27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7" s="32" t="e">
        <f>Tableau13452729313335374951944325[[#This Row],[DEPASSEMENT TOTAL SUR AUTO
]]/-Tableau13452729313335374951944325[[#This Row],[MONTANT AUTO]]</f>
        <v>#VALUE!</v>
      </c>
      <c r="T27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7" s="13">
        <f>ABS(Tableau13452729313335374951944325[[#This Row],[MONTANT DEPASSEMENT]]*0.005)</f>
        <v>0</v>
      </c>
      <c r="Z27" s="49" t="s">
        <v>136</v>
      </c>
      <c r="AA27" s="8"/>
    </row>
    <row r="28" spans="1:27" x14ac:dyDescent="0.25">
      <c r="A28" s="47"/>
      <c r="B28" s="48">
        <v>713</v>
      </c>
      <c r="C28" s="48" t="s">
        <v>433</v>
      </c>
      <c r="D28" s="48" t="s">
        <v>318</v>
      </c>
      <c r="E28" s="48" t="s">
        <v>319</v>
      </c>
      <c r="F28" s="48" t="s">
        <v>259</v>
      </c>
      <c r="G28" s="48" t="s">
        <v>536</v>
      </c>
      <c r="H28" s="48" t="s">
        <v>27</v>
      </c>
      <c r="I28" s="48"/>
      <c r="J28" s="42"/>
      <c r="K28" s="43"/>
      <c r="L28" s="44"/>
      <c r="M28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8" s="29">
        <f>Tableau13452729313335374951944325[[#This Row],[MONTANT OPERATION]]+Tableau13452729313335374951944325[[#This Row],[POS  FUSIONNEE CPTE AVANT OP]]</f>
        <v>0</v>
      </c>
      <c r="O28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8" s="32" t="e">
        <f>Tableau13452729313335374951944325[[#This Row],[DEPASSEMENT TOTAL SUR AUTO
]]/-Tableau13452729313335374951944325[[#This Row],[MONTANT AUTO]]</f>
        <v>#VALUE!</v>
      </c>
      <c r="T28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8" s="13">
        <f>ABS(Tableau13452729313335374951944325[[#This Row],[MONTANT DEPASSEMENT]]*0.005)</f>
        <v>0</v>
      </c>
      <c r="Z28" s="49" t="s">
        <v>134</v>
      </c>
      <c r="AA28" s="8"/>
    </row>
    <row r="29" spans="1:27" x14ac:dyDescent="0.25">
      <c r="A29" s="47"/>
      <c r="B29" s="48">
        <v>712</v>
      </c>
      <c r="C29" s="48" t="s">
        <v>431</v>
      </c>
      <c r="D29" s="48" t="s">
        <v>221</v>
      </c>
      <c r="E29" s="48" t="s">
        <v>222</v>
      </c>
      <c r="F29" s="48" t="s">
        <v>223</v>
      </c>
      <c r="G29" s="48" t="s">
        <v>529</v>
      </c>
      <c r="H29" s="48" t="s">
        <v>60</v>
      </c>
      <c r="I29" s="48"/>
      <c r="J29" s="42"/>
      <c r="K29" s="43"/>
      <c r="L29" s="44"/>
      <c r="M29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9" s="29">
        <f>Tableau13452729313335374951944325[[#This Row],[MONTANT OPERATION]]+Tableau13452729313335374951944325[[#This Row],[POS  FUSIONNEE CPTE AVANT OP]]</f>
        <v>0</v>
      </c>
      <c r="O29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9" s="32" t="e">
        <f>Tableau13452729313335374951944325[[#This Row],[DEPASSEMENT TOTAL SUR AUTO
]]/-Tableau13452729313335374951944325[[#This Row],[MONTANT AUTO]]</f>
        <v>#VALUE!</v>
      </c>
      <c r="T29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9" s="13">
        <f>ABS(Tableau13452729313335374951944325[[#This Row],[MONTANT DEPASSEMENT]]*0.005)</f>
        <v>0</v>
      </c>
      <c r="Z29" s="49" t="s">
        <v>127</v>
      </c>
      <c r="AA29" s="8"/>
    </row>
    <row r="30" spans="1:27" x14ac:dyDescent="0.25">
      <c r="A30" s="47"/>
      <c r="B30" s="48">
        <v>803</v>
      </c>
      <c r="C30" s="48" t="s">
        <v>447</v>
      </c>
      <c r="D30" s="48" t="s">
        <v>70</v>
      </c>
      <c r="E30" s="48" t="s">
        <v>71</v>
      </c>
      <c r="F30" s="48" t="s">
        <v>96</v>
      </c>
      <c r="G30" s="48" t="s">
        <v>448</v>
      </c>
      <c r="H30" s="48" t="s">
        <v>31</v>
      </c>
      <c r="I30" s="48"/>
      <c r="J30" s="23"/>
      <c r="M30" s="17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0" s="29">
        <f>Tableau13452729313335374951944325[[#This Row],[MONTANT OPERATION]]+Tableau13452729313335374951944325[[#This Row],[POS  FUSIONNEE CPTE AVANT OP]]</f>
        <v>0</v>
      </c>
      <c r="O30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0" s="20" t="e">
        <f>Tableau13452729313335374951944325[[#This Row],[DEPASSEMENT TOTAL SUR AUTO
]]/-Tableau13452729313335374951944325[[#This Row],[MONTANT AUTO]]</f>
        <v>#VALUE!</v>
      </c>
      <c r="S30" s="13" t="s">
        <v>29</v>
      </c>
      <c r="T30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0" s="13">
        <f>ABS(Tableau13452729313335374951944325[[#This Row],[MONTANT DEPASSEMENT]]*0.005)</f>
        <v>0</v>
      </c>
      <c r="W30" s="10"/>
      <c r="X30" s="10"/>
      <c r="Y30" s="10"/>
      <c r="Z30" s="49" t="s">
        <v>121</v>
      </c>
      <c r="AA30" s="8"/>
    </row>
    <row r="31" spans="1:27" x14ac:dyDescent="0.25">
      <c r="A31" s="47"/>
      <c r="B31" s="48">
        <v>803</v>
      </c>
      <c r="C31" s="48" t="s">
        <v>447</v>
      </c>
      <c r="D31" s="48" t="s">
        <v>307</v>
      </c>
      <c r="E31" s="48" t="s">
        <v>308</v>
      </c>
      <c r="F31" s="48" t="s">
        <v>242</v>
      </c>
      <c r="G31" s="48" t="s">
        <v>582</v>
      </c>
      <c r="H31" s="48" t="s">
        <v>31</v>
      </c>
      <c r="I31" s="48"/>
      <c r="J31" s="42"/>
      <c r="K31" s="43"/>
      <c r="L31" s="44"/>
      <c r="M31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1" s="29">
        <f>Tableau13452729313335374951944325[[#This Row],[MONTANT OPERATION]]+Tableau13452729313335374951944325[[#This Row],[POS  FUSIONNEE CPTE AVANT OP]]</f>
        <v>0</v>
      </c>
      <c r="O31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1" s="32" t="e">
        <f>Tableau13452729313335374951944325[[#This Row],[DEPASSEMENT TOTAL SUR AUTO
]]/-Tableau13452729313335374951944325[[#This Row],[MONTANT AUTO]]</f>
        <v>#VALUE!</v>
      </c>
      <c r="T31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1" s="13">
        <f>ABS(Tableau13452729313335374951944325[[#This Row],[MONTANT DEPASSEMENT]]*0.005)</f>
        <v>0</v>
      </c>
      <c r="Z31" s="49" t="s">
        <v>48</v>
      </c>
      <c r="AA31" s="8"/>
    </row>
    <row r="32" spans="1:27" x14ac:dyDescent="0.25">
      <c r="A32" s="47"/>
      <c r="B32" s="48">
        <v>807</v>
      </c>
      <c r="C32" s="48" t="s">
        <v>442</v>
      </c>
      <c r="D32" s="48" t="s">
        <v>413</v>
      </c>
      <c r="E32" s="48" t="s">
        <v>414</v>
      </c>
      <c r="F32" s="48" t="s">
        <v>40</v>
      </c>
      <c r="G32" s="48" t="s">
        <v>630</v>
      </c>
      <c r="H32" s="48" t="s">
        <v>31</v>
      </c>
      <c r="I32" s="48"/>
      <c r="J32" s="42"/>
      <c r="K32" s="43"/>
      <c r="L32" s="44"/>
      <c r="M32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2" s="29">
        <f>Tableau13452729313335374951944325[[#This Row],[MONTANT OPERATION]]+Tableau13452729313335374951944325[[#This Row],[POS  FUSIONNEE CPTE AVANT OP]]</f>
        <v>0</v>
      </c>
      <c r="O32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2" s="32" t="e">
        <f>Tableau13452729313335374951944325[[#This Row],[DEPASSEMENT TOTAL SUR AUTO
]]/-Tableau13452729313335374951944325[[#This Row],[MONTANT AUTO]]</f>
        <v>#VALUE!</v>
      </c>
      <c r="T32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2" s="13">
        <f>ABS(Tableau13452729313335374951944325[[#This Row],[MONTANT DEPASSEMENT]]*0.005)</f>
        <v>0</v>
      </c>
      <c r="Z32" s="49" t="s">
        <v>126</v>
      </c>
      <c r="AA32" s="8"/>
    </row>
    <row r="33" spans="1:27" x14ac:dyDescent="0.25">
      <c r="A33" s="47"/>
      <c r="B33" s="48">
        <v>807</v>
      </c>
      <c r="C33" s="48" t="s">
        <v>442</v>
      </c>
      <c r="D33" s="48" t="s">
        <v>155</v>
      </c>
      <c r="E33" s="48" t="s">
        <v>156</v>
      </c>
      <c r="F33" s="48" t="s">
        <v>108</v>
      </c>
      <c r="G33" s="48" t="s">
        <v>468</v>
      </c>
      <c r="H33" s="48" t="s">
        <v>31</v>
      </c>
      <c r="I33" s="48"/>
      <c r="J33" s="23"/>
      <c r="M33" s="29">
        <v>22508470</v>
      </c>
      <c r="N33" s="29">
        <v>-188075013</v>
      </c>
      <c r="O33" s="29" t="s">
        <v>78</v>
      </c>
      <c r="P33" s="32" t="e">
        <v>#VALUE!</v>
      </c>
      <c r="S33" s="13" t="s">
        <v>101</v>
      </c>
      <c r="T33" s="29">
        <f>IF(Tableau13452729313335374951944325[[#This Row],[0,5% du dép]]&lt;5000,5000,IF(Tableau13452729313335374951944325[[#This Row],[0,5% du dép]]&gt;50000,50000,Tableau13452729313335374951944325[[#This Row],[0,5% du dép]]))</f>
        <v>50000</v>
      </c>
      <c r="U33" s="13">
        <f>ABS(Tableau13452729313335374951944325[[#This Row],[MONTANT DEPASSEMENT]]*0.005)</f>
        <v>112542.35</v>
      </c>
      <c r="Z33" s="49" t="s">
        <v>120</v>
      </c>
      <c r="AA33" s="8"/>
    </row>
    <row r="34" spans="1:27" x14ac:dyDescent="0.25">
      <c r="A34" s="47"/>
      <c r="B34" s="48">
        <v>807</v>
      </c>
      <c r="C34" s="48" t="s">
        <v>442</v>
      </c>
      <c r="D34" s="48" t="s">
        <v>176</v>
      </c>
      <c r="E34" s="48" t="s">
        <v>417</v>
      </c>
      <c r="F34" s="48" t="s">
        <v>266</v>
      </c>
      <c r="G34" s="48" t="s">
        <v>609</v>
      </c>
      <c r="H34" s="48" t="s">
        <v>93</v>
      </c>
      <c r="I34" s="48"/>
      <c r="J34" s="42"/>
      <c r="K34" s="43"/>
      <c r="L34" s="44"/>
      <c r="M34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4" s="29">
        <f>Tableau13452729313335374951944325[[#This Row],[MONTANT OPERATION]]+Tableau13452729313335374951944325[[#This Row],[POS  FUSIONNEE CPTE AVANT OP]]</f>
        <v>0</v>
      </c>
      <c r="O34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4" s="32" t="e">
        <f>Tableau13452729313335374951944325[[#This Row],[DEPASSEMENT TOTAL SUR AUTO
]]/-Tableau13452729313335374951944325[[#This Row],[MONTANT AUTO]]</f>
        <v>#VALUE!</v>
      </c>
      <c r="T34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4" s="13">
        <f>ABS(Tableau13452729313335374951944325[[#This Row],[MONTANT DEPASSEMENT]]*0.005)</f>
        <v>0</v>
      </c>
      <c r="Z34" s="49" t="s">
        <v>119</v>
      </c>
      <c r="AA34" s="8"/>
    </row>
    <row r="35" spans="1:27" x14ac:dyDescent="0.25">
      <c r="A35" s="47"/>
      <c r="B35" s="48">
        <v>718</v>
      </c>
      <c r="C35" s="48" t="s">
        <v>462</v>
      </c>
      <c r="D35" s="48" t="s">
        <v>170</v>
      </c>
      <c r="E35" s="48" t="s">
        <v>283</v>
      </c>
      <c r="F35" s="48" t="s">
        <v>284</v>
      </c>
      <c r="G35" s="48" t="s">
        <v>569</v>
      </c>
      <c r="H35" s="48" t="s">
        <v>60</v>
      </c>
      <c r="I35" s="48"/>
      <c r="J35" s="42"/>
      <c r="K35" s="43"/>
      <c r="L35" s="44"/>
      <c r="M35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5" s="29">
        <f>Tableau13452729313335374951944325[[#This Row],[MONTANT OPERATION]]+Tableau13452729313335374951944325[[#This Row],[POS  FUSIONNEE CPTE AVANT OP]]</f>
        <v>0</v>
      </c>
      <c r="O35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5" s="32" t="e">
        <f>Tableau13452729313335374951944325[[#This Row],[DEPASSEMENT TOTAL SUR AUTO
]]/-Tableau13452729313335374951944325[[#This Row],[MONTANT AUTO]]</f>
        <v>#VALUE!</v>
      </c>
      <c r="T35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5" s="13">
        <f>ABS(Tableau13452729313335374951944325[[#This Row],[MONTANT DEPASSEMENT]]*0.005)</f>
        <v>0</v>
      </c>
      <c r="Z35" s="49" t="s">
        <v>118</v>
      </c>
      <c r="AA35" s="8"/>
    </row>
    <row r="36" spans="1:27" x14ac:dyDescent="0.25">
      <c r="A36" s="47"/>
      <c r="B36" s="48">
        <v>145</v>
      </c>
      <c r="C36" s="48" t="s">
        <v>490</v>
      </c>
      <c r="D36" s="48" t="s">
        <v>299</v>
      </c>
      <c r="E36" s="48" t="s">
        <v>300</v>
      </c>
      <c r="F36" s="48" t="s">
        <v>282</v>
      </c>
      <c r="G36" s="48" t="s">
        <v>491</v>
      </c>
      <c r="H36" s="48" t="s">
        <v>301</v>
      </c>
      <c r="I36" s="48"/>
      <c r="J36" s="23"/>
      <c r="M36" s="29">
        <v>71632373</v>
      </c>
      <c r="N36" s="29">
        <v>-3445610991</v>
      </c>
      <c r="O36" s="29" t="s">
        <v>78</v>
      </c>
      <c r="P36" s="32" t="e">
        <v>#VALUE!</v>
      </c>
      <c r="S36" s="13" t="s">
        <v>32</v>
      </c>
      <c r="T36" s="29">
        <f>IF(Tableau13452729313335374951944325[[#This Row],[0,5% du dép]]&lt;5000,5000,IF(Tableau13452729313335374951944325[[#This Row],[0,5% du dép]]&gt;50000,50000,Tableau13452729313335374951944325[[#This Row],[0,5% du dép]]))</f>
        <v>50000</v>
      </c>
      <c r="U36" s="13">
        <f>ABS(Tableau13452729313335374951944325[[#This Row],[MONTANT DEPASSEMENT]]*0.005)</f>
        <v>358161.86499999999</v>
      </c>
      <c r="Z36" s="49" t="s">
        <v>140</v>
      </c>
      <c r="AA36" s="8"/>
    </row>
    <row r="37" spans="1:27" ht="15.75" thickBot="1" x14ac:dyDescent="0.3">
      <c r="A37" s="47"/>
      <c r="B37" s="48">
        <v>714</v>
      </c>
      <c r="C37" s="48" t="s">
        <v>435</v>
      </c>
      <c r="D37" s="48" t="s">
        <v>257</v>
      </c>
      <c r="E37" s="48" t="s">
        <v>258</v>
      </c>
      <c r="F37" s="48" t="s">
        <v>259</v>
      </c>
      <c r="G37" s="48" t="s">
        <v>437</v>
      </c>
      <c r="H37" s="48" t="s">
        <v>27</v>
      </c>
      <c r="I37" s="48"/>
      <c r="J37" s="14"/>
      <c r="M37" s="17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7" s="17">
        <f>Tableau13452729313335374951944325[[#This Row],[MONTANT OPERATION]]+Tableau13452729313335374951944325[[#This Row],[POS  FUSIONNEE CPTE AVANT OP]]</f>
        <v>0</v>
      </c>
      <c r="O37" s="17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7" s="20" t="e">
        <f>Tableau13452729313335374951944325[[#This Row],[DEPASSEMENT TOTAL SUR AUTO
]]/-Tableau13452729313335374951944325[[#This Row],[MONTANT AUTO]]</f>
        <v>#VALUE!</v>
      </c>
      <c r="Q37" s="9"/>
      <c r="R37" s="10"/>
      <c r="S37" s="10" t="s">
        <v>29</v>
      </c>
      <c r="T37" s="17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7" s="10">
        <f>ABS(Tableau13452729313335374951944325[[#This Row],[MONTANT DEPASSEMENT]]*0.005)</f>
        <v>0</v>
      </c>
      <c r="V37" s="10" t="s">
        <v>30</v>
      </c>
      <c r="W37" s="10"/>
      <c r="X37" s="10"/>
      <c r="Y37" s="10"/>
      <c r="Z37" s="52" t="s">
        <v>139</v>
      </c>
      <c r="AA37" s="8"/>
    </row>
    <row r="38" spans="1:27" x14ac:dyDescent="0.25">
      <c r="A38" s="47"/>
      <c r="B38" s="48">
        <v>711</v>
      </c>
      <c r="C38" s="48" t="s">
        <v>427</v>
      </c>
      <c r="D38" s="48" t="s">
        <v>251</v>
      </c>
      <c r="E38" s="48" t="s">
        <v>252</v>
      </c>
      <c r="F38" s="48" t="s">
        <v>220</v>
      </c>
      <c r="G38" s="48" t="s">
        <v>622</v>
      </c>
      <c r="H38" s="48" t="s">
        <v>31</v>
      </c>
      <c r="I38" s="48"/>
      <c r="J38" s="42"/>
      <c r="K38" s="43"/>
      <c r="L38" s="44"/>
      <c r="M38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8" s="29">
        <f>Tableau13452729313335374951944325[[#This Row],[MONTANT OPERATION]]+Tableau13452729313335374951944325[[#This Row],[POS  FUSIONNEE CPTE AVANT OP]]</f>
        <v>0</v>
      </c>
      <c r="O38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8" s="32" t="e">
        <f>Tableau13452729313335374951944325[[#This Row],[DEPASSEMENT TOTAL SUR AUTO
]]/-Tableau13452729313335374951944325[[#This Row],[MONTANT AUTO]]</f>
        <v>#VALUE!</v>
      </c>
      <c r="T38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8" s="13">
        <f>ABS(Tableau13452729313335374951944325[[#This Row],[MONTANT DEPASSEMENT]]*0.005)</f>
        <v>0</v>
      </c>
    </row>
    <row r="39" spans="1:27" x14ac:dyDescent="0.25">
      <c r="A39" s="47"/>
      <c r="B39" s="48">
        <v>714</v>
      </c>
      <c r="C39" s="48" t="s">
        <v>435</v>
      </c>
      <c r="D39" s="48" t="s">
        <v>331</v>
      </c>
      <c r="E39" s="48" t="s">
        <v>332</v>
      </c>
      <c r="F39" s="48" t="s">
        <v>187</v>
      </c>
      <c r="G39" s="48" t="s">
        <v>548</v>
      </c>
      <c r="H39" s="48" t="s">
        <v>27</v>
      </c>
      <c r="I39" s="48"/>
      <c r="J39" s="42"/>
      <c r="K39" s="43"/>
      <c r="L39" s="44"/>
      <c r="M39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9" s="29">
        <f>Tableau13452729313335374951944325[[#This Row],[MONTANT OPERATION]]+Tableau13452729313335374951944325[[#This Row],[POS  FUSIONNEE CPTE AVANT OP]]</f>
        <v>0</v>
      </c>
      <c r="O39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9" s="32" t="e">
        <f>Tableau13452729313335374951944325[[#This Row],[DEPASSEMENT TOTAL SUR AUTO
]]/-Tableau13452729313335374951944325[[#This Row],[MONTANT AUTO]]</f>
        <v>#VALUE!</v>
      </c>
      <c r="T39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9" s="13">
        <f>ABS(Tableau13452729313335374951944325[[#This Row],[MONTANT DEPASSEMENT]]*0.005)</f>
        <v>0</v>
      </c>
    </row>
    <row r="40" spans="1:27" x14ac:dyDescent="0.25">
      <c r="A40" s="47"/>
      <c r="B40" s="48">
        <v>713</v>
      </c>
      <c r="C40" s="48" t="s">
        <v>433</v>
      </c>
      <c r="D40" s="48" t="s">
        <v>59</v>
      </c>
      <c r="E40" s="48" t="s">
        <v>366</v>
      </c>
      <c r="F40" s="48" t="s">
        <v>312</v>
      </c>
      <c r="G40" s="48" t="s">
        <v>537</v>
      </c>
      <c r="H40" s="48" t="s">
        <v>60</v>
      </c>
      <c r="I40" s="48"/>
      <c r="J40" s="42"/>
      <c r="K40" s="43"/>
      <c r="L40" s="44"/>
      <c r="M40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0" s="29">
        <f>Tableau13452729313335374951944325[[#This Row],[MONTANT OPERATION]]+Tableau13452729313335374951944325[[#This Row],[POS  FUSIONNEE CPTE AVANT OP]]</f>
        <v>0</v>
      </c>
      <c r="O40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0" s="32" t="e">
        <f>Tableau13452729313335374951944325[[#This Row],[DEPASSEMENT TOTAL SUR AUTO
]]/-Tableau13452729313335374951944325[[#This Row],[MONTANT AUTO]]</f>
        <v>#VALUE!</v>
      </c>
      <c r="T40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0" s="13">
        <f>ABS(Tableau13452729313335374951944325[[#This Row],[MONTANT DEPASSEMENT]]*0.005)</f>
        <v>0</v>
      </c>
    </row>
    <row r="41" spans="1:27" x14ac:dyDescent="0.25">
      <c r="A41" s="47"/>
      <c r="B41" s="48">
        <v>711</v>
      </c>
      <c r="C41" s="48" t="s">
        <v>427</v>
      </c>
      <c r="D41" s="48" t="s">
        <v>165</v>
      </c>
      <c r="E41" s="48" t="s">
        <v>166</v>
      </c>
      <c r="F41" s="48" t="s">
        <v>279</v>
      </c>
      <c r="G41" s="48" t="s">
        <v>507</v>
      </c>
      <c r="H41" s="48" t="s">
        <v>31</v>
      </c>
      <c r="I41" s="48"/>
      <c r="J41" s="42"/>
      <c r="K41" s="43"/>
      <c r="L41" s="44"/>
      <c r="M41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1" s="29">
        <f>Tableau13452729313335374951944325[[#This Row],[MONTANT OPERATION]]+Tableau13452729313335374951944325[[#This Row],[POS  FUSIONNEE CPTE AVANT OP]]</f>
        <v>0</v>
      </c>
      <c r="O41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1" s="32" t="e">
        <f>Tableau13452729313335374951944325[[#This Row],[DEPASSEMENT TOTAL SUR AUTO
]]/-Tableau13452729313335374951944325[[#This Row],[MONTANT AUTO]]</f>
        <v>#VALUE!</v>
      </c>
      <c r="T41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1" s="13">
        <f>ABS(Tableau13452729313335374951944325[[#This Row],[MONTANT DEPASSEMENT]]*0.005)</f>
        <v>0</v>
      </c>
    </row>
    <row r="42" spans="1:27" x14ac:dyDescent="0.25">
      <c r="A42" s="47"/>
      <c r="B42" s="48">
        <v>807</v>
      </c>
      <c r="C42" s="48" t="s">
        <v>442</v>
      </c>
      <c r="D42" s="48" t="s">
        <v>190</v>
      </c>
      <c r="E42" s="48" t="s">
        <v>212</v>
      </c>
      <c r="F42" s="48" t="s">
        <v>92</v>
      </c>
      <c r="G42" s="48" t="s">
        <v>443</v>
      </c>
      <c r="H42" s="48" t="s">
        <v>31</v>
      </c>
      <c r="I42" s="48"/>
      <c r="J42" s="14"/>
      <c r="M42" s="17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2" s="17">
        <f>Tableau13452729313335374951944325[[#This Row],[MONTANT OPERATION]]+Tableau13452729313335374951944325[[#This Row],[POS  FUSIONNEE CPTE AVANT OP]]</f>
        <v>0</v>
      </c>
      <c r="O42" s="17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2" s="28" t="e">
        <f>Tableau13452729313335374951944325[[#This Row],[DEPASSEMENT TOTAL SUR AUTO
]]/-Tableau13452729313335374951944325[[#This Row],[MONTANT AUTO]]</f>
        <v>#VALUE!</v>
      </c>
      <c r="Q42" s="10"/>
      <c r="R42" s="10"/>
      <c r="S42" s="10" t="s">
        <v>29</v>
      </c>
      <c r="T42" s="17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2" s="10">
        <f>ABS(Tableau13452729313335374951944325[[#This Row],[MONTANT DEPASSEMENT]]*0.005)</f>
        <v>0</v>
      </c>
      <c r="V42" s="10" t="s">
        <v>30</v>
      </c>
      <c r="W42" s="10"/>
      <c r="X42" s="10"/>
      <c r="Y42" s="10"/>
    </row>
    <row r="43" spans="1:27" x14ac:dyDescent="0.25">
      <c r="A43" s="47"/>
      <c r="B43" s="48">
        <v>521</v>
      </c>
      <c r="C43" s="48" t="s">
        <v>611</v>
      </c>
      <c r="D43" s="48" t="s">
        <v>619</v>
      </c>
      <c r="E43" s="48" t="s">
        <v>620</v>
      </c>
      <c r="F43" s="48" t="s">
        <v>89</v>
      </c>
      <c r="G43" s="48" t="s">
        <v>621</v>
      </c>
      <c r="H43" s="48" t="s">
        <v>342</v>
      </c>
      <c r="I43" s="48"/>
      <c r="J43" s="42"/>
      <c r="K43" s="43"/>
      <c r="L43" s="44"/>
      <c r="M43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3" s="29">
        <f>Tableau13452729313335374951944325[[#This Row],[MONTANT OPERATION]]+Tableau13452729313335374951944325[[#This Row],[POS  FUSIONNEE CPTE AVANT OP]]</f>
        <v>0</v>
      </c>
      <c r="O43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3" s="32" t="e">
        <f>Tableau13452729313335374951944325[[#This Row],[DEPASSEMENT TOTAL SUR AUTO
]]/-Tableau13452729313335374951944325[[#This Row],[MONTANT AUTO]]</f>
        <v>#VALUE!</v>
      </c>
      <c r="T43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3" s="13">
        <f>ABS(Tableau13452729313335374951944325[[#This Row],[MONTANT DEPASSEMENT]]*0.005)</f>
        <v>0</v>
      </c>
    </row>
    <row r="44" spans="1:27" x14ac:dyDescent="0.25">
      <c r="A44" s="47"/>
      <c r="B44" s="48">
        <v>800</v>
      </c>
      <c r="C44" s="48" t="s">
        <v>444</v>
      </c>
      <c r="D44" s="48" t="s">
        <v>100</v>
      </c>
      <c r="E44" s="48" t="s">
        <v>197</v>
      </c>
      <c r="F44" s="48" t="s">
        <v>198</v>
      </c>
      <c r="G44" s="48" t="s">
        <v>649</v>
      </c>
      <c r="H44" s="48" t="s">
        <v>31</v>
      </c>
      <c r="I44" s="48"/>
      <c r="J44" s="42"/>
      <c r="K44" s="43"/>
      <c r="L44" s="44"/>
      <c r="M44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4" s="29">
        <f>Tableau13452729313335374951944325[[#This Row],[MONTANT OPERATION]]+Tableau13452729313335374951944325[[#This Row],[POS  FUSIONNEE CPTE AVANT OP]]</f>
        <v>0</v>
      </c>
      <c r="O44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4" s="32" t="e">
        <f>Tableau13452729313335374951944325[[#This Row],[DEPASSEMENT TOTAL SUR AUTO
]]/-Tableau13452729313335374951944325[[#This Row],[MONTANT AUTO]]</f>
        <v>#VALUE!</v>
      </c>
      <c r="T44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4" s="13">
        <f>ABS(Tableau13452729313335374951944325[[#This Row],[MONTANT DEPASSEMENT]]*0.005)</f>
        <v>0</v>
      </c>
    </row>
    <row r="45" spans="1:27" x14ac:dyDescent="0.25">
      <c r="A45" s="47"/>
      <c r="B45" s="48">
        <v>800</v>
      </c>
      <c r="C45" s="48" t="s">
        <v>444</v>
      </c>
      <c r="D45" s="48" t="s">
        <v>100</v>
      </c>
      <c r="E45" s="48" t="s">
        <v>180</v>
      </c>
      <c r="F45" s="48" t="s">
        <v>49</v>
      </c>
      <c r="G45" s="48" t="s">
        <v>649</v>
      </c>
      <c r="H45" s="48" t="s">
        <v>60</v>
      </c>
      <c r="I45" s="48"/>
      <c r="J45" s="42"/>
      <c r="K45" s="43"/>
      <c r="L45" s="44"/>
      <c r="M45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5" s="29">
        <f>Tableau13452729313335374951944325[[#This Row],[MONTANT OPERATION]]+Tableau13452729313335374951944325[[#This Row],[POS  FUSIONNEE CPTE AVANT OP]]</f>
        <v>0</v>
      </c>
      <c r="O45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5" s="32" t="e">
        <f>Tableau13452729313335374951944325[[#This Row],[DEPASSEMENT TOTAL SUR AUTO
]]/-Tableau13452729313335374951944325[[#This Row],[MONTANT AUTO]]</f>
        <v>#VALUE!</v>
      </c>
      <c r="T45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5" s="13">
        <f>ABS(Tableau13452729313335374951944325[[#This Row],[MONTANT DEPASSEMENT]]*0.005)</f>
        <v>0</v>
      </c>
    </row>
    <row r="46" spans="1:27" x14ac:dyDescent="0.25">
      <c r="A46" s="47"/>
      <c r="B46" s="48">
        <v>706</v>
      </c>
      <c r="C46" s="48" t="s">
        <v>494</v>
      </c>
      <c r="D46" s="48" t="s">
        <v>503</v>
      </c>
      <c r="E46" s="48" t="s">
        <v>504</v>
      </c>
      <c r="F46" s="48" t="s">
        <v>256</v>
      </c>
      <c r="G46" s="48" t="s">
        <v>505</v>
      </c>
      <c r="H46" s="48" t="s">
        <v>41</v>
      </c>
      <c r="I46" s="48"/>
      <c r="J46" s="23"/>
      <c r="M46" s="29">
        <v>733950</v>
      </c>
      <c r="N46" s="29">
        <v>-237456879</v>
      </c>
      <c r="O46" s="29" t="s">
        <v>78</v>
      </c>
      <c r="P46" s="32" t="e">
        <v>#VALUE!</v>
      </c>
      <c r="S46" s="13" t="s">
        <v>101</v>
      </c>
      <c r="T46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6" s="13">
        <f>ABS(Tableau13452729313335374951944325[[#This Row],[MONTANT DEPASSEMENT]]*0.005)</f>
        <v>3669.75</v>
      </c>
    </row>
    <row r="47" spans="1:27" x14ac:dyDescent="0.25">
      <c r="A47" s="47"/>
      <c r="B47" s="48">
        <v>714</v>
      </c>
      <c r="C47" s="48" t="s">
        <v>435</v>
      </c>
      <c r="D47" s="48" t="s">
        <v>243</v>
      </c>
      <c r="E47" s="48" t="s">
        <v>244</v>
      </c>
      <c r="F47" s="48" t="s">
        <v>245</v>
      </c>
      <c r="G47" s="48" t="s">
        <v>438</v>
      </c>
      <c r="H47" s="48" t="s">
        <v>27</v>
      </c>
      <c r="I47" s="48"/>
      <c r="J47" s="14"/>
      <c r="M47" s="17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7" s="17">
        <f>Tableau13452729313335374951944325[[#This Row],[MONTANT OPERATION]]+Tableau13452729313335374951944325[[#This Row],[POS  FUSIONNEE CPTE AVANT OP]]</f>
        <v>0</v>
      </c>
      <c r="O47" s="17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7" s="20" t="e">
        <f>Tableau13452729313335374951944325[[#This Row],[DEPASSEMENT TOTAL SUR AUTO
]]/-Tableau13452729313335374951944325[[#This Row],[MONTANT AUTO]]</f>
        <v>#VALUE!</v>
      </c>
      <c r="Q47" s="10"/>
      <c r="R47" s="10"/>
      <c r="S47" s="10" t="s">
        <v>43</v>
      </c>
      <c r="T47" s="17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7" s="10">
        <f>ABS(Tableau13452729313335374951944325[[#This Row],[MONTANT DEPASSEMENT]]*0.005)</f>
        <v>0</v>
      </c>
      <c r="V47" s="10" t="s">
        <v>30</v>
      </c>
      <c r="W47" s="10"/>
      <c r="X47" s="10"/>
      <c r="Y47" s="10"/>
    </row>
    <row r="48" spans="1:27" x14ac:dyDescent="0.25">
      <c r="A48" s="47"/>
      <c r="B48" s="48">
        <v>703</v>
      </c>
      <c r="C48" s="48" t="s">
        <v>453</v>
      </c>
      <c r="D48" s="48" t="s">
        <v>336</v>
      </c>
      <c r="E48" s="48" t="s">
        <v>423</v>
      </c>
      <c r="F48" s="48" t="s">
        <v>175</v>
      </c>
      <c r="G48" s="48" t="s">
        <v>460</v>
      </c>
      <c r="H48" s="48" t="s">
        <v>93</v>
      </c>
      <c r="I48" s="48"/>
      <c r="J48" s="23"/>
      <c r="M48" s="29">
        <v>88280200</v>
      </c>
      <c r="N48" s="29">
        <v>-5088280200</v>
      </c>
      <c r="O48" s="29">
        <v>88280200</v>
      </c>
      <c r="P48" s="32">
        <v>1.7656040000000001E-2</v>
      </c>
      <c r="S48" s="13" t="s">
        <v>29</v>
      </c>
      <c r="T48" s="29">
        <f>IF(Tableau13452729313335374951944325[[#This Row],[0,5% du dép]]&lt;5000,5000,IF(Tableau13452729313335374951944325[[#This Row],[0,5% du dép]]&gt;50000,50000,Tableau13452729313335374951944325[[#This Row],[0,5% du dép]]))</f>
        <v>50000</v>
      </c>
      <c r="U48" s="13">
        <f>ABS(Tableau13452729313335374951944325[[#This Row],[MONTANT DEPASSEMENT]]*0.005)</f>
        <v>441401</v>
      </c>
    </row>
    <row r="49" spans="1:21" x14ac:dyDescent="0.25">
      <c r="A49" s="47"/>
      <c r="B49" s="48">
        <v>712</v>
      </c>
      <c r="C49" s="48" t="s">
        <v>431</v>
      </c>
      <c r="D49" s="48" t="s">
        <v>531</v>
      </c>
      <c r="E49" s="48" t="s">
        <v>532</v>
      </c>
      <c r="F49" s="48" t="s">
        <v>231</v>
      </c>
      <c r="G49" s="48" t="s">
        <v>533</v>
      </c>
      <c r="H49" s="48" t="s">
        <v>27</v>
      </c>
      <c r="I49" s="48"/>
      <c r="J49" s="42"/>
      <c r="K49" s="43"/>
      <c r="L49" s="44"/>
      <c r="M49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9" s="29">
        <f>Tableau13452729313335374951944325[[#This Row],[MONTANT OPERATION]]+Tableau13452729313335374951944325[[#This Row],[POS  FUSIONNEE CPTE AVANT OP]]</f>
        <v>0</v>
      </c>
      <c r="O49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9" s="32" t="e">
        <f>Tableau13452729313335374951944325[[#This Row],[DEPASSEMENT TOTAL SUR AUTO
]]/-Tableau13452729313335374951944325[[#This Row],[MONTANT AUTO]]</f>
        <v>#VALUE!</v>
      </c>
      <c r="T49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9" s="13">
        <f>ABS(Tableau13452729313335374951944325[[#This Row],[MONTANT DEPASSEMENT]]*0.005)</f>
        <v>0</v>
      </c>
    </row>
    <row r="50" spans="1:21" x14ac:dyDescent="0.25">
      <c r="A50" s="47"/>
      <c r="B50" s="48">
        <v>706</v>
      </c>
      <c r="C50" s="48" t="s">
        <v>494</v>
      </c>
      <c r="D50" s="48" t="s">
        <v>495</v>
      </c>
      <c r="E50" s="48" t="s">
        <v>496</v>
      </c>
      <c r="F50" s="48" t="s">
        <v>294</v>
      </c>
      <c r="G50" s="48" t="s">
        <v>497</v>
      </c>
      <c r="H50" s="48" t="s">
        <v>41</v>
      </c>
      <c r="I50" s="48"/>
      <c r="J50" s="23"/>
      <c r="M50" s="29">
        <v>102830</v>
      </c>
      <c r="N50" s="29">
        <v>-232956999</v>
      </c>
      <c r="O50" s="29" t="s">
        <v>78</v>
      </c>
      <c r="P50" s="32" t="e">
        <v>#VALUE!</v>
      </c>
      <c r="S50" s="13" t="s">
        <v>101</v>
      </c>
      <c r="T50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50" s="13">
        <f>ABS(Tableau13452729313335374951944325[[#This Row],[MONTANT DEPASSEMENT]]*0.005)</f>
        <v>514.15</v>
      </c>
    </row>
    <row r="51" spans="1:21" x14ac:dyDescent="0.25">
      <c r="A51" s="47"/>
      <c r="B51" s="48">
        <v>703</v>
      </c>
      <c r="C51" s="48" t="s">
        <v>453</v>
      </c>
      <c r="D51" s="48" t="s">
        <v>364</v>
      </c>
      <c r="E51" s="48" t="s">
        <v>365</v>
      </c>
      <c r="F51" s="48" t="s">
        <v>230</v>
      </c>
      <c r="G51" s="48" t="s">
        <v>473</v>
      </c>
      <c r="H51" s="48" t="s">
        <v>41</v>
      </c>
      <c r="I51" s="48"/>
      <c r="J51" s="23"/>
      <c r="M51" s="29">
        <v>931718</v>
      </c>
      <c r="N51" s="29">
        <v>-2364456416</v>
      </c>
      <c r="O51" s="29" t="s">
        <v>78</v>
      </c>
      <c r="P51" s="32" t="e">
        <v>#VALUE!</v>
      </c>
      <c r="S51" s="13" t="s">
        <v>43</v>
      </c>
      <c r="T51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51" s="13">
        <f>ABS(Tableau13452729313335374951944325[[#This Row],[MONTANT DEPASSEMENT]]*0.005)</f>
        <v>4658.59</v>
      </c>
    </row>
    <row r="52" spans="1:21" x14ac:dyDescent="0.25">
      <c r="A52" s="47"/>
      <c r="B52" s="48">
        <v>703</v>
      </c>
      <c r="C52" s="48" t="s">
        <v>453</v>
      </c>
      <c r="D52" s="48" t="s">
        <v>457</v>
      </c>
      <c r="E52" s="48" t="s">
        <v>458</v>
      </c>
      <c r="F52" s="48" t="s">
        <v>187</v>
      </c>
      <c r="G52" s="48" t="s">
        <v>459</v>
      </c>
      <c r="H52" s="48" t="s">
        <v>47</v>
      </c>
      <c r="I52" s="48"/>
      <c r="J52" s="23"/>
      <c r="M52" s="29">
        <v>27875794</v>
      </c>
      <c r="N52" s="29">
        <v>-2004187039</v>
      </c>
      <c r="O52" s="29" t="s">
        <v>78</v>
      </c>
      <c r="P52" s="32" t="e">
        <v>#VALUE!</v>
      </c>
      <c r="S52" s="13" t="s">
        <v>32</v>
      </c>
      <c r="T52" s="29">
        <f>IF(Tableau13452729313335374951944325[[#This Row],[0,5% du dép]]&lt;5000,5000,IF(Tableau13452729313335374951944325[[#This Row],[0,5% du dép]]&gt;50000,50000,Tableau13452729313335374951944325[[#This Row],[0,5% du dép]]))</f>
        <v>50000</v>
      </c>
      <c r="U52" s="13">
        <f>ABS(Tableau13452729313335374951944325[[#This Row],[MONTANT DEPASSEMENT]]*0.005)</f>
        <v>139378.97</v>
      </c>
    </row>
    <row r="53" spans="1:21" x14ac:dyDescent="0.25">
      <c r="A53" s="47"/>
      <c r="B53" s="48">
        <v>703</v>
      </c>
      <c r="C53" s="48" t="s">
        <v>453</v>
      </c>
      <c r="D53" s="48" t="s">
        <v>358</v>
      </c>
      <c r="E53" s="48" t="s">
        <v>359</v>
      </c>
      <c r="F53" s="48" t="s">
        <v>199</v>
      </c>
      <c r="G53" s="48" t="s">
        <v>360</v>
      </c>
      <c r="H53" s="48" t="s">
        <v>94</v>
      </c>
      <c r="I53" s="48"/>
      <c r="J53" s="23"/>
      <c r="M53" s="29">
        <v>786530</v>
      </c>
      <c r="N53" s="29">
        <v>-2028195506</v>
      </c>
      <c r="O53" s="29" t="s">
        <v>78</v>
      </c>
      <c r="P53" s="32" t="e">
        <v>#VALUE!</v>
      </c>
      <c r="S53" s="13" t="s">
        <v>32</v>
      </c>
      <c r="T53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53" s="13">
        <f>ABS(Tableau13452729313335374951944325[[#This Row],[MONTANT DEPASSEMENT]]*0.005)</f>
        <v>3932.65</v>
      </c>
    </row>
    <row r="54" spans="1:21" x14ac:dyDescent="0.25">
      <c r="A54" s="47"/>
      <c r="B54" s="48">
        <v>714</v>
      </c>
      <c r="C54" s="48" t="s">
        <v>435</v>
      </c>
      <c r="D54" s="48" t="s">
        <v>315</v>
      </c>
      <c r="E54" s="48" t="s">
        <v>316</v>
      </c>
      <c r="F54" s="48" t="s">
        <v>266</v>
      </c>
      <c r="G54" s="48" t="s">
        <v>659</v>
      </c>
      <c r="H54" s="48" t="s">
        <v>27</v>
      </c>
      <c r="I54" s="48"/>
      <c r="J54" s="42"/>
      <c r="K54" s="43"/>
      <c r="L54" s="44"/>
      <c r="M54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54" s="29">
        <f>Tableau13452729313335374951944325[[#This Row],[MONTANT OPERATION]]+Tableau13452729313335374951944325[[#This Row],[POS  FUSIONNEE CPTE AVANT OP]]</f>
        <v>0</v>
      </c>
      <c r="O54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54" s="32" t="e">
        <f>Tableau13452729313335374951944325[[#This Row],[DEPASSEMENT TOTAL SUR AUTO
]]/-Tableau13452729313335374951944325[[#This Row],[MONTANT AUTO]]</f>
        <v>#VALUE!</v>
      </c>
      <c r="T54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54" s="13">
        <f>ABS(Tableau13452729313335374951944325[[#This Row],[MONTANT DEPASSEMENT]]*0.005)</f>
        <v>0</v>
      </c>
    </row>
    <row r="55" spans="1:21" x14ac:dyDescent="0.25">
      <c r="A55" s="47"/>
      <c r="B55" s="48">
        <v>718</v>
      </c>
      <c r="C55" s="48" t="s">
        <v>462</v>
      </c>
      <c r="D55" s="48" t="s">
        <v>419</v>
      </c>
      <c r="E55" s="48" t="s">
        <v>420</v>
      </c>
      <c r="F55" s="48" t="s">
        <v>175</v>
      </c>
      <c r="G55" s="48" t="s">
        <v>463</v>
      </c>
      <c r="H55" s="48" t="s">
        <v>31</v>
      </c>
      <c r="I55" s="48"/>
      <c r="J55" s="23"/>
      <c r="M55" s="29">
        <v>4204925</v>
      </c>
      <c r="N55" s="29">
        <v>-10563142</v>
      </c>
      <c r="O55" s="29" t="s">
        <v>78</v>
      </c>
      <c r="P55" s="32" t="e">
        <v>#VALUE!</v>
      </c>
      <c r="S55" s="13" t="s">
        <v>101</v>
      </c>
      <c r="T55" s="29">
        <f>IF(Tableau13452729313335374951944325[[#This Row],[0,5% du dép]]&lt;5000,5000,IF(Tableau13452729313335374951944325[[#This Row],[0,5% du dép]]&gt;50000,50000,Tableau13452729313335374951944325[[#This Row],[0,5% du dép]]))</f>
        <v>21024.625</v>
      </c>
      <c r="U55" s="13">
        <f>ABS(Tableau13452729313335374951944325[[#This Row],[MONTANT DEPASSEMENT]]*0.005)</f>
        <v>21024.625</v>
      </c>
    </row>
    <row r="56" spans="1:21" x14ac:dyDescent="0.25">
      <c r="A56" s="47"/>
      <c r="B56" s="48">
        <v>803</v>
      </c>
      <c r="C56" s="48" t="s">
        <v>447</v>
      </c>
      <c r="D56" s="48" t="s">
        <v>56</v>
      </c>
      <c r="E56" s="48" t="s">
        <v>57</v>
      </c>
      <c r="F56" s="48" t="s">
        <v>116</v>
      </c>
      <c r="G56" s="48" t="s">
        <v>596</v>
      </c>
      <c r="H56" s="48" t="s">
        <v>31</v>
      </c>
      <c r="I56" s="48"/>
      <c r="J56" s="42"/>
      <c r="K56" s="43"/>
      <c r="L56" s="44"/>
      <c r="M56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56" s="29">
        <f>Tableau13452729313335374951944325[[#This Row],[MONTANT OPERATION]]+Tableau13452729313335374951944325[[#This Row],[POS  FUSIONNEE CPTE AVANT OP]]</f>
        <v>0</v>
      </c>
      <c r="O56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56" s="32" t="e">
        <f>Tableau13452729313335374951944325[[#This Row],[DEPASSEMENT TOTAL SUR AUTO
]]/-Tableau13452729313335374951944325[[#This Row],[MONTANT AUTO]]</f>
        <v>#VALUE!</v>
      </c>
      <c r="T56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56" s="13">
        <f>ABS(Tableau13452729313335374951944325[[#This Row],[MONTANT DEPASSEMENT]]*0.005)</f>
        <v>0</v>
      </c>
    </row>
    <row r="57" spans="1:21" x14ac:dyDescent="0.25">
      <c r="A57" s="47"/>
      <c r="B57" s="48">
        <v>705</v>
      </c>
      <c r="C57" s="48" t="s">
        <v>429</v>
      </c>
      <c r="D57" s="48" t="s">
        <v>483</v>
      </c>
      <c r="E57" s="48" t="s">
        <v>484</v>
      </c>
      <c r="F57" s="48" t="s">
        <v>297</v>
      </c>
      <c r="G57" s="48" t="s">
        <v>485</v>
      </c>
      <c r="H57" s="48" t="s">
        <v>41</v>
      </c>
      <c r="I57" s="48"/>
      <c r="J57" s="23"/>
      <c r="M57" s="29">
        <v>3335213</v>
      </c>
      <c r="N57" s="29">
        <v>-241451917</v>
      </c>
      <c r="O57" s="29" t="s">
        <v>78</v>
      </c>
      <c r="P57" s="32" t="e">
        <v>#VALUE!</v>
      </c>
      <c r="S57" s="13" t="s">
        <v>101</v>
      </c>
      <c r="T57" s="29">
        <f>IF(Tableau13452729313335374951944325[[#This Row],[0,5% du dép]]&lt;5000,5000,IF(Tableau13452729313335374951944325[[#This Row],[0,5% du dép]]&gt;50000,50000,Tableau13452729313335374951944325[[#This Row],[0,5% du dép]]))</f>
        <v>16676.064999999999</v>
      </c>
      <c r="U57" s="13">
        <f>ABS(Tableau13452729313335374951944325[[#This Row],[MONTANT DEPASSEMENT]]*0.005)</f>
        <v>16676.064999999999</v>
      </c>
    </row>
    <row r="58" spans="1:21" x14ac:dyDescent="0.25">
      <c r="A58" s="47"/>
      <c r="B58" s="48">
        <v>711</v>
      </c>
      <c r="C58" s="48" t="s">
        <v>427</v>
      </c>
      <c r="D58" s="48" t="s">
        <v>171</v>
      </c>
      <c r="E58" s="48" t="s">
        <v>172</v>
      </c>
      <c r="F58" s="48" t="s">
        <v>220</v>
      </c>
      <c r="G58" s="48" t="s">
        <v>173</v>
      </c>
      <c r="H58" s="48" t="s">
        <v>31</v>
      </c>
      <c r="I58" s="48"/>
      <c r="J58" s="42"/>
      <c r="K58" s="43"/>
      <c r="L58" s="44"/>
      <c r="M58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58" s="29">
        <f>Tableau13452729313335374951944325[[#This Row],[MONTANT OPERATION]]+Tableau13452729313335374951944325[[#This Row],[POS  FUSIONNEE CPTE AVANT OP]]</f>
        <v>0</v>
      </c>
      <c r="O58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58" s="32" t="e">
        <f>Tableau13452729313335374951944325[[#This Row],[DEPASSEMENT TOTAL SUR AUTO
]]/-Tableau13452729313335374951944325[[#This Row],[MONTANT AUTO]]</f>
        <v>#VALUE!</v>
      </c>
      <c r="T58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58" s="13">
        <f>ABS(Tableau13452729313335374951944325[[#This Row],[MONTANT DEPASSEMENT]]*0.005)</f>
        <v>0</v>
      </c>
    </row>
    <row r="59" spans="1:21" x14ac:dyDescent="0.25">
      <c r="A59" s="47"/>
      <c r="B59" s="48">
        <v>806</v>
      </c>
      <c r="C59" s="48" t="s">
        <v>492</v>
      </c>
      <c r="D59" s="48" t="s">
        <v>206</v>
      </c>
      <c r="E59" s="48" t="s">
        <v>207</v>
      </c>
      <c r="F59" s="48" t="s">
        <v>77</v>
      </c>
      <c r="G59" s="48" t="s">
        <v>514</v>
      </c>
      <c r="H59" s="48" t="s">
        <v>31</v>
      </c>
      <c r="I59" s="48"/>
      <c r="J59" s="42"/>
      <c r="K59" s="43"/>
      <c r="L59" s="44"/>
      <c r="M59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59" s="29">
        <f>Tableau13452729313335374951944325[[#This Row],[MONTANT OPERATION]]+Tableau13452729313335374951944325[[#This Row],[POS  FUSIONNEE CPTE AVANT OP]]</f>
        <v>0</v>
      </c>
      <c r="O59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59" s="32" t="e">
        <f>Tableau13452729313335374951944325[[#This Row],[DEPASSEMENT TOTAL SUR AUTO
]]/-Tableau13452729313335374951944325[[#This Row],[MONTANT AUTO]]</f>
        <v>#VALUE!</v>
      </c>
      <c r="T59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59" s="13">
        <f>ABS(Tableau13452729313335374951944325[[#This Row],[MONTANT DEPASSEMENT]]*0.005)</f>
        <v>0</v>
      </c>
    </row>
    <row r="60" spans="1:21" x14ac:dyDescent="0.25">
      <c r="A60" s="47"/>
      <c r="B60" s="48">
        <v>718</v>
      </c>
      <c r="C60" s="48" t="s">
        <v>462</v>
      </c>
      <c r="D60" s="48" t="s">
        <v>354</v>
      </c>
      <c r="E60" s="48" t="s">
        <v>355</v>
      </c>
      <c r="F60" s="48" t="s">
        <v>26</v>
      </c>
      <c r="G60" s="48" t="s">
        <v>576</v>
      </c>
      <c r="H60" s="48" t="s">
        <v>31</v>
      </c>
      <c r="I60" s="48"/>
      <c r="J60" s="42"/>
      <c r="K60" s="43"/>
      <c r="L60" s="44"/>
      <c r="M60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60" s="29">
        <f>Tableau13452729313335374951944325[[#This Row],[MONTANT OPERATION]]+Tableau13452729313335374951944325[[#This Row],[POS  FUSIONNEE CPTE AVANT OP]]</f>
        <v>0</v>
      </c>
      <c r="O60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60" s="32" t="e">
        <f>Tableau13452729313335374951944325[[#This Row],[DEPASSEMENT TOTAL SUR AUTO
]]/-Tableau13452729313335374951944325[[#This Row],[MONTANT AUTO]]</f>
        <v>#VALUE!</v>
      </c>
      <c r="T60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60" s="13">
        <f>ABS(Tableau13452729313335374951944325[[#This Row],[MONTANT DEPASSEMENT]]*0.005)</f>
        <v>0</v>
      </c>
    </row>
    <row r="61" spans="1:21" x14ac:dyDescent="0.25">
      <c r="A61" s="47"/>
      <c r="B61" s="48">
        <v>521</v>
      </c>
      <c r="C61" s="48" t="s">
        <v>611</v>
      </c>
      <c r="D61" s="48" t="s">
        <v>374</v>
      </c>
      <c r="E61" s="48" t="s">
        <v>375</v>
      </c>
      <c r="F61" s="48" t="s">
        <v>184</v>
      </c>
      <c r="G61" s="48" t="s">
        <v>612</v>
      </c>
      <c r="H61" s="48" t="s">
        <v>60</v>
      </c>
      <c r="I61" s="48"/>
      <c r="J61" s="42"/>
      <c r="K61" s="43"/>
      <c r="L61" s="44"/>
      <c r="M61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61" s="29">
        <f>Tableau13452729313335374951944325[[#This Row],[MONTANT OPERATION]]+Tableau13452729313335374951944325[[#This Row],[POS  FUSIONNEE CPTE AVANT OP]]</f>
        <v>0</v>
      </c>
      <c r="O61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61" s="32" t="e">
        <f>Tableau13452729313335374951944325[[#This Row],[DEPASSEMENT TOTAL SUR AUTO
]]/-Tableau13452729313335374951944325[[#This Row],[MONTANT AUTO]]</f>
        <v>#VALUE!</v>
      </c>
      <c r="T61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61" s="13">
        <f>ABS(Tableau13452729313335374951944325[[#This Row],[MONTANT DEPASSEMENT]]*0.005)</f>
        <v>0</v>
      </c>
    </row>
    <row r="62" spans="1:21" x14ac:dyDescent="0.25">
      <c r="A62" s="47"/>
      <c r="B62" s="48">
        <v>583</v>
      </c>
      <c r="C62" s="48" t="s">
        <v>613</v>
      </c>
      <c r="D62" s="48" t="s">
        <v>614</v>
      </c>
      <c r="E62" s="48" t="s">
        <v>615</v>
      </c>
      <c r="F62" s="48" t="s">
        <v>343</v>
      </c>
      <c r="G62" s="48" t="s">
        <v>616</v>
      </c>
      <c r="H62" s="48" t="s">
        <v>95</v>
      </c>
      <c r="I62" s="48"/>
      <c r="J62" s="42"/>
      <c r="K62" s="43"/>
      <c r="L62" s="44"/>
      <c r="M62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62" s="29">
        <f>Tableau13452729313335374951944325[[#This Row],[MONTANT OPERATION]]+Tableau13452729313335374951944325[[#This Row],[POS  FUSIONNEE CPTE AVANT OP]]</f>
        <v>0</v>
      </c>
      <c r="O62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62" s="32" t="e">
        <f>Tableau13452729313335374951944325[[#This Row],[DEPASSEMENT TOTAL SUR AUTO
]]/-Tableau13452729313335374951944325[[#This Row],[MONTANT AUTO]]</f>
        <v>#VALUE!</v>
      </c>
      <c r="T62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62" s="13">
        <f>ABS(Tableau13452729313335374951944325[[#This Row],[MONTANT DEPASSEMENT]]*0.005)</f>
        <v>0</v>
      </c>
    </row>
    <row r="63" spans="1:21" x14ac:dyDescent="0.25">
      <c r="A63" s="47"/>
      <c r="B63" s="48">
        <v>705</v>
      </c>
      <c r="C63" s="48" t="s">
        <v>429</v>
      </c>
      <c r="D63" s="48" t="s">
        <v>380</v>
      </c>
      <c r="E63" s="48" t="s">
        <v>478</v>
      </c>
      <c r="F63" s="48" t="s">
        <v>349</v>
      </c>
      <c r="G63" s="48" t="s">
        <v>479</v>
      </c>
      <c r="H63" s="48" t="s">
        <v>94</v>
      </c>
      <c r="I63" s="48"/>
      <c r="J63" s="23"/>
      <c r="M63" s="29">
        <v>2275086</v>
      </c>
      <c r="N63" s="29">
        <v>-414532622</v>
      </c>
      <c r="O63" s="29" t="s">
        <v>78</v>
      </c>
      <c r="P63" s="32" t="e">
        <v>#VALUE!</v>
      </c>
      <c r="S63" s="13" t="s">
        <v>101</v>
      </c>
      <c r="T63" s="29">
        <f>IF(Tableau13452729313335374951944325[[#This Row],[0,5% du dép]]&lt;5000,5000,IF(Tableau13452729313335374951944325[[#This Row],[0,5% du dép]]&gt;50000,50000,Tableau13452729313335374951944325[[#This Row],[0,5% du dép]]))</f>
        <v>11375.43</v>
      </c>
      <c r="U63" s="13">
        <f>ABS(Tableau13452729313335374951944325[[#This Row],[MONTANT DEPASSEMENT]]*0.005)</f>
        <v>11375.43</v>
      </c>
    </row>
    <row r="64" spans="1:21" x14ac:dyDescent="0.25">
      <c r="A64" s="47"/>
      <c r="B64" s="48">
        <v>711</v>
      </c>
      <c r="C64" s="48" t="s">
        <v>427</v>
      </c>
      <c r="D64" s="48" t="s">
        <v>404</v>
      </c>
      <c r="E64" s="48" t="s">
        <v>405</v>
      </c>
      <c r="F64" s="48" t="s">
        <v>202</v>
      </c>
      <c r="G64" s="48" t="s">
        <v>519</v>
      </c>
      <c r="H64" s="48" t="s">
        <v>27</v>
      </c>
      <c r="I64" s="48"/>
      <c r="J64" s="42"/>
      <c r="K64" s="43"/>
      <c r="L64" s="44"/>
      <c r="M64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64" s="29">
        <f>Tableau13452729313335374951944325[[#This Row],[MONTANT OPERATION]]+Tableau13452729313335374951944325[[#This Row],[POS  FUSIONNEE CPTE AVANT OP]]</f>
        <v>0</v>
      </c>
      <c r="O64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64" s="32" t="e">
        <f>Tableau13452729313335374951944325[[#This Row],[DEPASSEMENT TOTAL SUR AUTO
]]/-Tableau13452729313335374951944325[[#This Row],[MONTANT AUTO]]</f>
        <v>#VALUE!</v>
      </c>
      <c r="T64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64" s="13">
        <f>ABS(Tableau13452729313335374951944325[[#This Row],[MONTANT DEPASSEMENT]]*0.005)</f>
        <v>0</v>
      </c>
    </row>
    <row r="65" spans="1:21" x14ac:dyDescent="0.25">
      <c r="A65" s="47"/>
      <c r="B65" s="48">
        <v>521</v>
      </c>
      <c r="C65" s="48" t="s">
        <v>611</v>
      </c>
      <c r="D65" s="48" t="s">
        <v>410</v>
      </c>
      <c r="E65" s="48" t="s">
        <v>411</v>
      </c>
      <c r="F65" s="48" t="s">
        <v>202</v>
      </c>
      <c r="G65" s="48" t="s">
        <v>631</v>
      </c>
      <c r="H65" s="48" t="s">
        <v>60</v>
      </c>
      <c r="I65" s="48"/>
      <c r="J65" s="42"/>
      <c r="K65" s="43"/>
      <c r="L65" s="44"/>
      <c r="M65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65" s="29">
        <f>Tableau13452729313335374951944325[[#This Row],[MONTANT OPERATION]]+Tableau13452729313335374951944325[[#This Row],[POS  FUSIONNEE CPTE AVANT OP]]</f>
        <v>0</v>
      </c>
      <c r="O65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65" s="32" t="e">
        <f>Tableau13452729313335374951944325[[#This Row],[DEPASSEMENT TOTAL SUR AUTO
]]/-Tableau13452729313335374951944325[[#This Row],[MONTANT AUTO]]</f>
        <v>#VALUE!</v>
      </c>
      <c r="T65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65" s="13">
        <f>ABS(Tableau13452729313335374951944325[[#This Row],[MONTANT DEPASSEMENT]]*0.005)</f>
        <v>0</v>
      </c>
    </row>
    <row r="66" spans="1:21" x14ac:dyDescent="0.25">
      <c r="A66" s="47"/>
      <c r="B66" s="48">
        <v>711</v>
      </c>
      <c r="C66" s="48" t="s">
        <v>427</v>
      </c>
      <c r="D66" s="48" t="s">
        <v>589</v>
      </c>
      <c r="E66" s="48" t="s">
        <v>590</v>
      </c>
      <c r="F66" s="48" t="s">
        <v>89</v>
      </c>
      <c r="G66" s="48" t="s">
        <v>591</v>
      </c>
      <c r="H66" s="48" t="s">
        <v>27</v>
      </c>
      <c r="I66" s="48"/>
      <c r="J66" s="42"/>
      <c r="K66" s="43"/>
      <c r="L66" s="44"/>
      <c r="M66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66" s="29">
        <f>Tableau13452729313335374951944325[[#This Row],[MONTANT OPERATION]]+Tableau13452729313335374951944325[[#This Row],[POS  FUSIONNEE CPTE AVANT OP]]</f>
        <v>0</v>
      </c>
      <c r="O66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66" s="32" t="e">
        <f>Tableau13452729313335374951944325[[#This Row],[DEPASSEMENT TOTAL SUR AUTO
]]/-Tableau13452729313335374951944325[[#This Row],[MONTANT AUTO]]</f>
        <v>#VALUE!</v>
      </c>
      <c r="T66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66" s="13">
        <f>ABS(Tableau13452729313335374951944325[[#This Row],[MONTANT DEPASSEMENT]]*0.005)</f>
        <v>0</v>
      </c>
    </row>
    <row r="67" spans="1:21" x14ac:dyDescent="0.25">
      <c r="A67" s="47"/>
      <c r="B67" s="48">
        <v>550</v>
      </c>
      <c r="C67" s="48" t="s">
        <v>446</v>
      </c>
      <c r="D67" s="48" t="s">
        <v>356</v>
      </c>
      <c r="E67" s="48" t="s">
        <v>357</v>
      </c>
      <c r="F67" s="48" t="s">
        <v>341</v>
      </c>
      <c r="G67" s="48" t="s">
        <v>618</v>
      </c>
      <c r="H67" s="48" t="s">
        <v>50</v>
      </c>
      <c r="I67" s="48"/>
      <c r="J67" s="42"/>
      <c r="K67" s="43"/>
      <c r="L67" s="44"/>
      <c r="M67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67" s="29">
        <f>Tableau13452729313335374951944325[[#This Row],[MONTANT OPERATION]]+Tableau13452729313335374951944325[[#This Row],[POS  FUSIONNEE CPTE AVANT OP]]</f>
        <v>0</v>
      </c>
      <c r="O67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67" s="32" t="e">
        <f>Tableau13452729313335374951944325[[#This Row],[DEPASSEMENT TOTAL SUR AUTO
]]/-Tableau13452729313335374951944325[[#This Row],[MONTANT AUTO]]</f>
        <v>#VALUE!</v>
      </c>
      <c r="T67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67" s="13">
        <f>ABS(Tableau13452729313335374951944325[[#This Row],[MONTANT DEPASSEMENT]]*0.005)</f>
        <v>0</v>
      </c>
    </row>
    <row r="68" spans="1:21" x14ac:dyDescent="0.25">
      <c r="A68" s="47"/>
      <c r="B68" s="48">
        <v>711</v>
      </c>
      <c r="C68" s="48" t="s">
        <v>427</v>
      </c>
      <c r="D68" s="48" t="s">
        <v>260</v>
      </c>
      <c r="E68" s="48" t="s">
        <v>261</v>
      </c>
      <c r="F68" s="48" t="s">
        <v>262</v>
      </c>
      <c r="G68" s="48" t="s">
        <v>511</v>
      </c>
      <c r="H68" s="48" t="s">
        <v>27</v>
      </c>
      <c r="I68" s="48"/>
      <c r="J68" s="42"/>
      <c r="K68" s="43"/>
      <c r="L68" s="44"/>
      <c r="M68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68" s="29">
        <f>Tableau13452729313335374951944325[[#This Row],[MONTANT OPERATION]]+Tableau13452729313335374951944325[[#This Row],[POS  FUSIONNEE CPTE AVANT OP]]</f>
        <v>0</v>
      </c>
      <c r="O68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68" s="32" t="e">
        <f>Tableau13452729313335374951944325[[#This Row],[DEPASSEMENT TOTAL SUR AUTO
]]/-Tableau13452729313335374951944325[[#This Row],[MONTANT AUTO]]</f>
        <v>#VALUE!</v>
      </c>
      <c r="T68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68" s="13">
        <f>ABS(Tableau13452729313335374951944325[[#This Row],[MONTANT DEPASSEMENT]]*0.005)</f>
        <v>0</v>
      </c>
    </row>
    <row r="69" spans="1:21" x14ac:dyDescent="0.25">
      <c r="A69" s="47"/>
      <c r="B69" s="48">
        <v>711</v>
      </c>
      <c r="C69" s="48" t="s">
        <v>427</v>
      </c>
      <c r="D69" s="48" t="s">
        <v>106</v>
      </c>
      <c r="E69" s="48" t="s">
        <v>107</v>
      </c>
      <c r="F69" s="48" t="s">
        <v>108</v>
      </c>
      <c r="G69" s="48" t="s">
        <v>518</v>
      </c>
      <c r="H69" s="48" t="s">
        <v>27</v>
      </c>
      <c r="I69" s="48"/>
      <c r="J69" s="42"/>
      <c r="K69" s="43"/>
      <c r="L69" s="44"/>
      <c r="M69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69" s="29">
        <f>Tableau13452729313335374951944325[[#This Row],[MONTANT OPERATION]]+Tableau13452729313335374951944325[[#This Row],[POS  FUSIONNEE CPTE AVANT OP]]</f>
        <v>0</v>
      </c>
      <c r="O69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69" s="32" t="e">
        <f>Tableau13452729313335374951944325[[#This Row],[DEPASSEMENT TOTAL SUR AUTO
]]/-Tableau13452729313335374951944325[[#This Row],[MONTANT AUTO]]</f>
        <v>#VALUE!</v>
      </c>
      <c r="T69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69" s="13">
        <f>ABS(Tableau13452729313335374951944325[[#This Row],[MONTANT DEPASSEMENT]]*0.005)</f>
        <v>0</v>
      </c>
    </row>
    <row r="70" spans="1:21" x14ac:dyDescent="0.25">
      <c r="A70" s="47"/>
      <c r="B70" s="48">
        <v>715</v>
      </c>
      <c r="C70" s="48" t="s">
        <v>439</v>
      </c>
      <c r="D70" s="48" t="s">
        <v>372</v>
      </c>
      <c r="E70" s="48" t="s">
        <v>373</v>
      </c>
      <c r="F70" s="48" t="s">
        <v>209</v>
      </c>
      <c r="G70" s="48" t="s">
        <v>562</v>
      </c>
      <c r="H70" s="48" t="s">
        <v>27</v>
      </c>
      <c r="I70" s="48"/>
      <c r="J70" s="42"/>
      <c r="K70" s="43"/>
      <c r="L70" s="44"/>
      <c r="M70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70" s="29">
        <f>Tableau13452729313335374951944325[[#This Row],[MONTANT OPERATION]]+Tableau13452729313335374951944325[[#This Row],[POS  FUSIONNEE CPTE AVANT OP]]</f>
        <v>0</v>
      </c>
      <c r="O70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70" s="32" t="e">
        <f>Tableau13452729313335374951944325[[#This Row],[DEPASSEMENT TOTAL SUR AUTO
]]/-Tableau13452729313335374951944325[[#This Row],[MONTANT AUTO]]</f>
        <v>#VALUE!</v>
      </c>
      <c r="T70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70" s="13">
        <f>ABS(Tableau13452729313335374951944325[[#This Row],[MONTANT DEPASSEMENT]]*0.005)</f>
        <v>0</v>
      </c>
    </row>
    <row r="71" spans="1:21" x14ac:dyDescent="0.25">
      <c r="A71" s="47"/>
      <c r="B71" s="48">
        <v>803</v>
      </c>
      <c r="C71" s="48" t="s">
        <v>447</v>
      </c>
      <c r="D71" s="48" t="s">
        <v>352</v>
      </c>
      <c r="E71" s="48" t="s">
        <v>353</v>
      </c>
      <c r="F71" s="48" t="s">
        <v>266</v>
      </c>
      <c r="G71" s="48" t="s">
        <v>601</v>
      </c>
      <c r="H71" s="48" t="s">
        <v>31</v>
      </c>
      <c r="I71" s="48"/>
      <c r="J71" s="42"/>
      <c r="K71" s="43"/>
      <c r="L71" s="44"/>
      <c r="M71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71" s="29">
        <f>Tableau13452729313335374951944325[[#This Row],[MONTANT OPERATION]]+Tableau13452729313335374951944325[[#This Row],[POS  FUSIONNEE CPTE AVANT OP]]</f>
        <v>0</v>
      </c>
      <c r="O71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71" s="32" t="e">
        <f>Tableau13452729313335374951944325[[#This Row],[DEPASSEMENT TOTAL SUR AUTO
]]/-Tableau13452729313335374951944325[[#This Row],[MONTANT AUTO]]</f>
        <v>#VALUE!</v>
      </c>
      <c r="T71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71" s="13">
        <f>ABS(Tableau13452729313335374951944325[[#This Row],[MONTANT DEPASSEMENT]]*0.005)</f>
        <v>0</v>
      </c>
    </row>
    <row r="72" spans="1:21" x14ac:dyDescent="0.25">
      <c r="A72" s="47"/>
      <c r="B72" s="48">
        <v>716</v>
      </c>
      <c r="C72" s="48" t="s">
        <v>563</v>
      </c>
      <c r="D72" s="48" t="s">
        <v>289</v>
      </c>
      <c r="E72" s="48" t="s">
        <v>298</v>
      </c>
      <c r="F72" s="48" t="s">
        <v>290</v>
      </c>
      <c r="G72" s="48" t="s">
        <v>566</v>
      </c>
      <c r="H72" s="48" t="s">
        <v>27</v>
      </c>
      <c r="I72" s="48"/>
      <c r="J72" s="42"/>
      <c r="K72" s="43"/>
      <c r="L72" s="44"/>
      <c r="M72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72" s="29">
        <f>Tableau13452729313335374951944325[[#This Row],[MONTANT OPERATION]]+Tableau13452729313335374951944325[[#This Row],[POS  FUSIONNEE CPTE AVANT OP]]</f>
        <v>0</v>
      </c>
      <c r="O72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72" s="32" t="e">
        <f>Tableau13452729313335374951944325[[#This Row],[DEPASSEMENT TOTAL SUR AUTO
]]/-Tableau13452729313335374951944325[[#This Row],[MONTANT AUTO]]</f>
        <v>#VALUE!</v>
      </c>
      <c r="T72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72" s="13">
        <f>ABS(Tableau13452729313335374951944325[[#This Row],[MONTANT DEPASSEMENT]]*0.005)</f>
        <v>0</v>
      </c>
    </row>
    <row r="73" spans="1:21" x14ac:dyDescent="0.25">
      <c r="A73" s="47"/>
      <c r="B73" s="48">
        <v>713</v>
      </c>
      <c r="C73" s="48" t="s">
        <v>433</v>
      </c>
      <c r="D73" s="48" t="s">
        <v>148</v>
      </c>
      <c r="E73" s="48" t="s">
        <v>272</v>
      </c>
      <c r="F73" s="48" t="s">
        <v>250</v>
      </c>
      <c r="G73" s="48" t="s">
        <v>538</v>
      </c>
      <c r="H73" s="48" t="s">
        <v>149</v>
      </c>
      <c r="I73" s="48"/>
      <c r="J73" s="42"/>
      <c r="K73" s="43"/>
      <c r="L73" s="44"/>
      <c r="M73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73" s="29">
        <f>Tableau13452729313335374951944325[[#This Row],[MONTANT OPERATION]]+Tableau13452729313335374951944325[[#This Row],[POS  FUSIONNEE CPTE AVANT OP]]</f>
        <v>0</v>
      </c>
      <c r="O73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73" s="32" t="e">
        <f>Tableau13452729313335374951944325[[#This Row],[DEPASSEMENT TOTAL SUR AUTO
]]/-Tableau13452729313335374951944325[[#This Row],[MONTANT AUTO]]</f>
        <v>#VALUE!</v>
      </c>
      <c r="T73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73" s="13">
        <f>ABS(Tableau13452729313335374951944325[[#This Row],[MONTANT DEPASSEMENT]]*0.005)</f>
        <v>0</v>
      </c>
    </row>
    <row r="74" spans="1:21" x14ac:dyDescent="0.25">
      <c r="A74" s="47"/>
      <c r="B74" s="48">
        <v>712</v>
      </c>
      <c r="C74" s="48" t="s">
        <v>431</v>
      </c>
      <c r="D74" s="48" t="s">
        <v>305</v>
      </c>
      <c r="E74" s="48" t="s">
        <v>306</v>
      </c>
      <c r="F74" s="48" t="s">
        <v>223</v>
      </c>
      <c r="G74" s="48" t="s">
        <v>526</v>
      </c>
      <c r="H74" s="48" t="s">
        <v>31</v>
      </c>
      <c r="I74" s="48"/>
      <c r="J74" s="42"/>
      <c r="K74" s="43"/>
      <c r="L74" s="44"/>
      <c r="M74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74" s="29">
        <f>Tableau13452729313335374951944325[[#This Row],[MONTANT OPERATION]]+Tableau13452729313335374951944325[[#This Row],[POS  FUSIONNEE CPTE AVANT OP]]</f>
        <v>0</v>
      </c>
      <c r="O74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74" s="32" t="e">
        <f>Tableau13452729313335374951944325[[#This Row],[DEPASSEMENT TOTAL SUR AUTO
]]/-Tableau13452729313335374951944325[[#This Row],[MONTANT AUTO]]</f>
        <v>#VALUE!</v>
      </c>
      <c r="T74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74" s="13">
        <f>ABS(Tableau13452729313335374951944325[[#This Row],[MONTANT DEPASSEMENT]]*0.005)</f>
        <v>0</v>
      </c>
    </row>
    <row r="75" spans="1:21" x14ac:dyDescent="0.25">
      <c r="A75" s="47"/>
      <c r="B75" s="48">
        <v>705</v>
      </c>
      <c r="C75" s="48" t="s">
        <v>429</v>
      </c>
      <c r="D75" s="48" t="s">
        <v>90</v>
      </c>
      <c r="E75" s="48" t="s">
        <v>91</v>
      </c>
      <c r="F75" s="48" t="s">
        <v>92</v>
      </c>
      <c r="G75" s="48" t="s">
        <v>481</v>
      </c>
      <c r="H75" s="48" t="s">
        <v>93</v>
      </c>
      <c r="I75" s="48"/>
      <c r="J75" s="23"/>
      <c r="M75" s="29">
        <v>498000</v>
      </c>
      <c r="N75" s="29">
        <v>-198454993</v>
      </c>
      <c r="O75" s="29" t="s">
        <v>78</v>
      </c>
      <c r="P75" s="32" t="e">
        <v>#VALUE!</v>
      </c>
      <c r="S75" s="13" t="s">
        <v>101</v>
      </c>
      <c r="T75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75" s="13">
        <f>ABS(Tableau13452729313335374951944325[[#This Row],[MONTANT DEPASSEMENT]]*0.005)</f>
        <v>2490</v>
      </c>
    </row>
    <row r="76" spans="1:21" x14ac:dyDescent="0.25">
      <c r="A76" s="47"/>
      <c r="B76" s="48">
        <v>714</v>
      </c>
      <c r="C76" s="48" t="s">
        <v>435</v>
      </c>
      <c r="D76" s="48" t="s">
        <v>248</v>
      </c>
      <c r="E76" s="48" t="s">
        <v>249</v>
      </c>
      <c r="F76" s="48" t="s">
        <v>250</v>
      </c>
      <c r="G76" s="48" t="s">
        <v>655</v>
      </c>
      <c r="H76" s="48" t="s">
        <v>27</v>
      </c>
      <c r="I76" s="48"/>
      <c r="J76" s="42"/>
      <c r="K76" s="43"/>
      <c r="L76" s="44"/>
      <c r="M76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76" s="29">
        <f>Tableau13452729313335374951944325[[#This Row],[MONTANT OPERATION]]+Tableau13452729313335374951944325[[#This Row],[POS  FUSIONNEE CPTE AVANT OP]]</f>
        <v>0</v>
      </c>
      <c r="O76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76" s="32" t="e">
        <f>Tableau13452729313335374951944325[[#This Row],[DEPASSEMENT TOTAL SUR AUTO
]]/-Tableau13452729313335374951944325[[#This Row],[MONTANT AUTO]]</f>
        <v>#VALUE!</v>
      </c>
      <c r="T76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76" s="13">
        <f>ABS(Tableau13452729313335374951944325[[#This Row],[MONTANT DEPASSEMENT]]*0.005)</f>
        <v>0</v>
      </c>
    </row>
    <row r="77" spans="1:21" x14ac:dyDescent="0.25">
      <c r="A77" s="47"/>
      <c r="B77" s="48">
        <v>713</v>
      </c>
      <c r="C77" s="48" t="s">
        <v>433</v>
      </c>
      <c r="D77" s="48" t="s">
        <v>381</v>
      </c>
      <c r="E77" s="48" t="s">
        <v>382</v>
      </c>
      <c r="F77" s="48" t="s">
        <v>250</v>
      </c>
      <c r="G77" s="48" t="s">
        <v>623</v>
      </c>
      <c r="H77" s="48" t="s">
        <v>169</v>
      </c>
      <c r="I77" s="48"/>
      <c r="J77" s="42"/>
      <c r="K77" s="43"/>
      <c r="L77" s="44"/>
      <c r="M77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77" s="29">
        <f>Tableau13452729313335374951944325[[#This Row],[MONTANT OPERATION]]+Tableau13452729313335374951944325[[#This Row],[POS  FUSIONNEE CPTE AVANT OP]]</f>
        <v>0</v>
      </c>
      <c r="O77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77" s="32" t="e">
        <f>Tableau13452729313335374951944325[[#This Row],[DEPASSEMENT TOTAL SUR AUTO
]]/-Tableau13452729313335374951944325[[#This Row],[MONTANT AUTO]]</f>
        <v>#VALUE!</v>
      </c>
      <c r="T77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77" s="13">
        <f>ABS(Tableau13452729313335374951944325[[#This Row],[MONTANT DEPASSEMENT]]*0.005)</f>
        <v>0</v>
      </c>
    </row>
    <row r="78" spans="1:21" x14ac:dyDescent="0.25">
      <c r="A78" s="47"/>
      <c r="B78" s="48">
        <v>800</v>
      </c>
      <c r="C78" s="48" t="s">
        <v>444</v>
      </c>
      <c r="D78" s="48" t="s">
        <v>394</v>
      </c>
      <c r="E78" s="48" t="s">
        <v>395</v>
      </c>
      <c r="F78" s="48" t="s">
        <v>279</v>
      </c>
      <c r="G78" s="48" t="s">
        <v>595</v>
      </c>
      <c r="H78" s="48" t="s">
        <v>27</v>
      </c>
      <c r="I78" s="48"/>
      <c r="J78" s="42"/>
      <c r="K78" s="43"/>
      <c r="L78" s="44"/>
      <c r="M78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78" s="29">
        <f>Tableau13452729313335374951944325[[#This Row],[MONTANT OPERATION]]+Tableau13452729313335374951944325[[#This Row],[POS  FUSIONNEE CPTE AVANT OP]]</f>
        <v>0</v>
      </c>
      <c r="O78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78" s="32" t="e">
        <f>Tableau13452729313335374951944325[[#This Row],[DEPASSEMENT TOTAL SUR AUTO
]]/-Tableau13452729313335374951944325[[#This Row],[MONTANT AUTO]]</f>
        <v>#VALUE!</v>
      </c>
      <c r="T78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78" s="13">
        <f>ABS(Tableau13452729313335374951944325[[#This Row],[MONTANT DEPASSEMENT]]*0.005)</f>
        <v>0</v>
      </c>
    </row>
    <row r="79" spans="1:21" x14ac:dyDescent="0.25">
      <c r="A79" s="47"/>
      <c r="B79" s="48">
        <v>806</v>
      </c>
      <c r="C79" s="48" t="s">
        <v>492</v>
      </c>
      <c r="D79" s="48" t="s">
        <v>604</v>
      </c>
      <c r="E79" s="48" t="s">
        <v>605</v>
      </c>
      <c r="F79" s="48" t="s">
        <v>284</v>
      </c>
      <c r="G79" s="48" t="s">
        <v>606</v>
      </c>
      <c r="H79" s="48" t="s">
        <v>31</v>
      </c>
      <c r="I79" s="48"/>
      <c r="J79" s="42"/>
      <c r="K79" s="43"/>
      <c r="L79" s="44"/>
      <c r="M79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79" s="29">
        <f>Tableau13452729313335374951944325[[#This Row],[MONTANT OPERATION]]+Tableau13452729313335374951944325[[#This Row],[POS  FUSIONNEE CPTE AVANT OP]]</f>
        <v>0</v>
      </c>
      <c r="O79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79" s="32" t="e">
        <f>Tableau13452729313335374951944325[[#This Row],[DEPASSEMENT TOTAL SUR AUTO
]]/-Tableau13452729313335374951944325[[#This Row],[MONTANT AUTO]]</f>
        <v>#VALUE!</v>
      </c>
      <c r="T79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79" s="13">
        <f>ABS(Tableau13452729313335374951944325[[#This Row],[MONTANT DEPASSEMENT]]*0.005)</f>
        <v>0</v>
      </c>
    </row>
    <row r="80" spans="1:21" x14ac:dyDescent="0.25">
      <c r="A80" s="47"/>
      <c r="B80" s="48">
        <v>718</v>
      </c>
      <c r="C80" s="48" t="s">
        <v>462</v>
      </c>
      <c r="D80" s="48" t="s">
        <v>277</v>
      </c>
      <c r="E80" s="48" t="s">
        <v>278</v>
      </c>
      <c r="F80" s="48" t="s">
        <v>279</v>
      </c>
      <c r="G80" s="48" t="s">
        <v>660</v>
      </c>
      <c r="H80" s="48" t="s">
        <v>60</v>
      </c>
      <c r="I80" s="48"/>
      <c r="J80" s="42"/>
      <c r="K80" s="43"/>
      <c r="L80" s="44"/>
      <c r="M80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80" s="29">
        <f>Tableau13452729313335374951944325[[#This Row],[MONTANT OPERATION]]+Tableau13452729313335374951944325[[#This Row],[POS  FUSIONNEE CPTE AVANT OP]]</f>
        <v>0</v>
      </c>
      <c r="O80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80" s="32" t="e">
        <f>Tableau13452729313335374951944325[[#This Row],[DEPASSEMENT TOTAL SUR AUTO
]]/-Tableau13452729313335374951944325[[#This Row],[MONTANT AUTO]]</f>
        <v>#VALUE!</v>
      </c>
      <c r="T80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80" s="13">
        <f>ABS(Tableau13452729313335374951944325[[#This Row],[MONTANT DEPASSEMENT]]*0.005)</f>
        <v>0</v>
      </c>
    </row>
    <row r="81" spans="1:25" x14ac:dyDescent="0.25">
      <c r="A81" s="47"/>
      <c r="B81" s="48">
        <v>711</v>
      </c>
      <c r="C81" s="48" t="s">
        <v>427</v>
      </c>
      <c r="D81" s="48" t="s">
        <v>178</v>
      </c>
      <c r="E81" s="48" t="s">
        <v>179</v>
      </c>
      <c r="F81" s="48" t="s">
        <v>203</v>
      </c>
      <c r="G81" s="48" t="s">
        <v>508</v>
      </c>
      <c r="H81" s="48" t="s">
        <v>31</v>
      </c>
      <c r="I81" s="48"/>
      <c r="J81" s="42"/>
      <c r="K81" s="43"/>
      <c r="L81" s="44"/>
      <c r="M81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81" s="29">
        <f>Tableau13452729313335374951944325[[#This Row],[MONTANT OPERATION]]+Tableau13452729313335374951944325[[#This Row],[POS  FUSIONNEE CPTE AVANT OP]]</f>
        <v>0</v>
      </c>
      <c r="O81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81" s="32" t="e">
        <f>Tableau13452729313335374951944325[[#This Row],[DEPASSEMENT TOTAL SUR AUTO
]]/-Tableau13452729313335374951944325[[#This Row],[MONTANT AUTO]]</f>
        <v>#VALUE!</v>
      </c>
      <c r="T81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81" s="13">
        <f>ABS(Tableau13452729313335374951944325[[#This Row],[MONTANT DEPASSEMENT]]*0.005)</f>
        <v>0</v>
      </c>
    </row>
    <row r="82" spans="1:25" x14ac:dyDescent="0.25">
      <c r="A82" s="47"/>
      <c r="B82" s="48">
        <v>705</v>
      </c>
      <c r="C82" s="48" t="s">
        <v>429</v>
      </c>
      <c r="D82" s="48" t="s">
        <v>217</v>
      </c>
      <c r="E82" s="48" t="s">
        <v>218</v>
      </c>
      <c r="F82" s="48" t="s">
        <v>219</v>
      </c>
      <c r="G82" s="48" t="s">
        <v>430</v>
      </c>
      <c r="H82" s="48" t="s">
        <v>47</v>
      </c>
      <c r="I82" s="48"/>
      <c r="J82" s="14"/>
      <c r="M82" s="17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82" s="17">
        <f>Tableau13452729313335374951944325[[#This Row],[MONTANT OPERATION]]+Tableau13452729313335374951944325[[#This Row],[POS  FUSIONNEE CPTE AVANT OP]]</f>
        <v>0</v>
      </c>
      <c r="O82" s="17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82" s="20" t="e">
        <f>Tableau13452729313335374951944325[[#This Row],[DEPASSEMENT TOTAL SUR AUTO
]]/-Tableau13452729313335374951944325[[#This Row],[MONTANT AUTO]]</f>
        <v>#VALUE!</v>
      </c>
      <c r="Q82" s="10"/>
      <c r="R82" s="10" t="s">
        <v>42</v>
      </c>
      <c r="S82" s="10" t="s">
        <v>43</v>
      </c>
      <c r="T82" s="17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82" s="10">
        <f>ABS(Tableau13452729313335374951944325[[#This Row],[MONTANT DEPASSEMENT]]*0.005)</f>
        <v>0</v>
      </c>
      <c r="V82" s="10" t="s">
        <v>30</v>
      </c>
      <c r="W82" s="10"/>
      <c r="X82" s="10"/>
      <c r="Y82" s="10"/>
    </row>
    <row r="83" spans="1:25" x14ac:dyDescent="0.25">
      <c r="A83" s="47"/>
      <c r="B83" s="48">
        <v>705</v>
      </c>
      <c r="C83" s="48" t="s">
        <v>429</v>
      </c>
      <c r="D83" s="48" t="s">
        <v>217</v>
      </c>
      <c r="E83" s="48" t="s">
        <v>644</v>
      </c>
      <c r="F83" s="48" t="s">
        <v>89</v>
      </c>
      <c r="G83" s="48" t="s">
        <v>430</v>
      </c>
      <c r="H83" s="48" t="s">
        <v>47</v>
      </c>
      <c r="I83" s="48"/>
      <c r="J83" s="42"/>
      <c r="K83" s="43"/>
      <c r="L83" s="44"/>
      <c r="M83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83" s="29">
        <f>Tableau13452729313335374951944325[[#This Row],[MONTANT OPERATION]]+Tableau13452729313335374951944325[[#This Row],[POS  FUSIONNEE CPTE AVANT OP]]</f>
        <v>0</v>
      </c>
      <c r="O83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83" s="32" t="e">
        <f>Tableau13452729313335374951944325[[#This Row],[DEPASSEMENT TOTAL SUR AUTO
]]/-Tableau13452729313335374951944325[[#This Row],[MONTANT AUTO]]</f>
        <v>#VALUE!</v>
      </c>
      <c r="T83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83" s="13">
        <f>ABS(Tableau13452729313335374951944325[[#This Row],[MONTANT DEPASSEMENT]]*0.005)</f>
        <v>0</v>
      </c>
    </row>
    <row r="84" spans="1:25" x14ac:dyDescent="0.25">
      <c r="A84" s="47"/>
      <c r="B84" s="48">
        <v>703</v>
      </c>
      <c r="C84" s="48" t="s">
        <v>453</v>
      </c>
      <c r="D84" s="48" t="s">
        <v>376</v>
      </c>
      <c r="E84" s="48" t="s">
        <v>377</v>
      </c>
      <c r="F84" s="48" t="s">
        <v>203</v>
      </c>
      <c r="G84" s="48" t="s">
        <v>454</v>
      </c>
      <c r="H84" s="48" t="s">
        <v>47</v>
      </c>
      <c r="I84" s="48"/>
      <c r="J84" s="23"/>
      <c r="M84" s="29">
        <v>92930</v>
      </c>
      <c r="N84" s="29">
        <v>-92930</v>
      </c>
      <c r="O84" s="29" t="s">
        <v>78</v>
      </c>
      <c r="P84" s="32" t="e">
        <v>#VALUE!</v>
      </c>
      <c r="S84" s="13" t="s">
        <v>43</v>
      </c>
      <c r="T84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84" s="13">
        <f>ABS(Tableau13452729313335374951944325[[#This Row],[MONTANT DEPASSEMENT]]*0.005)</f>
        <v>464.65000000000003</v>
      </c>
    </row>
    <row r="85" spans="1:25" x14ac:dyDescent="0.25">
      <c r="A85" s="47"/>
      <c r="B85" s="48">
        <v>712</v>
      </c>
      <c r="C85" s="48" t="s">
        <v>431</v>
      </c>
      <c r="D85" s="48" t="s">
        <v>200</v>
      </c>
      <c r="E85" s="48" t="s">
        <v>201</v>
      </c>
      <c r="F85" s="48" t="s">
        <v>202</v>
      </c>
      <c r="G85" s="48" t="s">
        <v>432</v>
      </c>
      <c r="H85" s="48" t="s">
        <v>60</v>
      </c>
      <c r="I85" s="48"/>
      <c r="J85" s="14"/>
      <c r="M85" s="17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85" s="17">
        <f>Tableau13452729313335374951944325[[#This Row],[MONTANT OPERATION]]+Tableau13452729313335374951944325[[#This Row],[POS  FUSIONNEE CPTE AVANT OP]]</f>
        <v>0</v>
      </c>
      <c r="O85" s="17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85" s="20" t="e">
        <f>Tableau13452729313335374951944325[[#This Row],[DEPASSEMENT TOTAL SUR AUTO
]]/-Tableau13452729313335374951944325[[#This Row],[MONTANT AUTO]]</f>
        <v>#VALUE!</v>
      </c>
      <c r="Q85" s="10"/>
      <c r="R85" s="10"/>
      <c r="S85" s="10" t="s">
        <v>32</v>
      </c>
      <c r="T85" s="17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85" s="10">
        <f>ABS(Tableau13452729313335374951944325[[#This Row],[MONTANT DEPASSEMENT]]*0.005)</f>
        <v>0</v>
      </c>
      <c r="V85" s="10" t="s">
        <v>30</v>
      </c>
      <c r="W85" s="10"/>
      <c r="X85" s="10"/>
      <c r="Y85" s="10"/>
    </row>
    <row r="86" spans="1:25" x14ac:dyDescent="0.25">
      <c r="A86" s="47"/>
      <c r="B86" s="48">
        <v>803</v>
      </c>
      <c r="C86" s="48" t="s">
        <v>447</v>
      </c>
      <c r="D86" s="48" t="s">
        <v>597</v>
      </c>
      <c r="E86" s="48" t="s">
        <v>598</v>
      </c>
      <c r="F86" s="48" t="s">
        <v>77</v>
      </c>
      <c r="G86" s="48" t="s">
        <v>599</v>
      </c>
      <c r="H86" s="48" t="s">
        <v>31</v>
      </c>
      <c r="I86" s="48"/>
      <c r="J86" s="42"/>
      <c r="K86" s="43"/>
      <c r="L86" s="44"/>
      <c r="M86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86" s="29">
        <f>Tableau13452729313335374951944325[[#This Row],[MONTANT OPERATION]]+Tableau13452729313335374951944325[[#This Row],[POS  FUSIONNEE CPTE AVANT OP]]</f>
        <v>0</v>
      </c>
      <c r="O86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86" s="32" t="e">
        <f>Tableau13452729313335374951944325[[#This Row],[DEPASSEMENT TOTAL SUR AUTO
]]/-Tableau13452729313335374951944325[[#This Row],[MONTANT AUTO]]</f>
        <v>#VALUE!</v>
      </c>
      <c r="T86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86" s="13">
        <f>ABS(Tableau13452729313335374951944325[[#This Row],[MONTANT DEPASSEMENT]]*0.005)</f>
        <v>0</v>
      </c>
    </row>
    <row r="87" spans="1:25" x14ac:dyDescent="0.25">
      <c r="A87" s="47"/>
      <c r="B87" s="48">
        <v>715</v>
      </c>
      <c r="C87" s="48" t="s">
        <v>439</v>
      </c>
      <c r="D87" s="48" t="s">
        <v>183</v>
      </c>
      <c r="E87" s="48" t="s">
        <v>113</v>
      </c>
      <c r="F87" s="48" t="s">
        <v>184</v>
      </c>
      <c r="G87" s="48" t="s">
        <v>441</v>
      </c>
      <c r="H87" s="48" t="s">
        <v>27</v>
      </c>
      <c r="I87" s="48"/>
      <c r="J87" s="14"/>
      <c r="M87" s="17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87" s="17">
        <f>Tableau13452729313335374951944325[[#This Row],[MONTANT OPERATION]]+Tableau13452729313335374951944325[[#This Row],[POS  FUSIONNEE CPTE AVANT OP]]</f>
        <v>0</v>
      </c>
      <c r="O87" s="17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87" s="20" t="e">
        <f>Tableau13452729313335374951944325[[#This Row],[DEPASSEMENT TOTAL SUR AUTO
]]/-Tableau13452729313335374951944325[[#This Row],[MONTANT AUTO]]</f>
        <v>#VALUE!</v>
      </c>
      <c r="Q87" s="10"/>
      <c r="R87" s="10"/>
      <c r="S87" s="10" t="s">
        <v>29</v>
      </c>
      <c r="T87" s="17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87" s="10">
        <f>ABS(Tableau13452729313335374951944325[[#This Row],[MONTANT DEPASSEMENT]]*0.005)</f>
        <v>0</v>
      </c>
      <c r="V87" s="10" t="s">
        <v>30</v>
      </c>
      <c r="W87" s="10"/>
      <c r="X87" s="10"/>
      <c r="Y87" s="10"/>
    </row>
    <row r="88" spans="1:25" x14ac:dyDescent="0.25">
      <c r="A88" s="47"/>
      <c r="B88" s="48">
        <v>715</v>
      </c>
      <c r="C88" s="48" t="s">
        <v>439</v>
      </c>
      <c r="D88" s="48" t="s">
        <v>183</v>
      </c>
      <c r="E88" s="48" t="s">
        <v>399</v>
      </c>
      <c r="F88" s="48" t="s">
        <v>250</v>
      </c>
      <c r="G88" s="48" t="s">
        <v>441</v>
      </c>
      <c r="H88" s="48" t="s">
        <v>27</v>
      </c>
      <c r="I88" s="48"/>
      <c r="J88" s="42"/>
      <c r="K88" s="43"/>
      <c r="L88" s="44"/>
      <c r="M88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88" s="29">
        <f>Tableau13452729313335374951944325[[#This Row],[MONTANT OPERATION]]+Tableau13452729313335374951944325[[#This Row],[POS  FUSIONNEE CPTE AVANT OP]]</f>
        <v>0</v>
      </c>
      <c r="O88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88" s="32" t="e">
        <f>Tableau13452729313335374951944325[[#This Row],[DEPASSEMENT TOTAL SUR AUTO
]]/-Tableau13452729313335374951944325[[#This Row],[MONTANT AUTO]]</f>
        <v>#VALUE!</v>
      </c>
      <c r="T88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88" s="13">
        <f>ABS(Tableau13452729313335374951944325[[#This Row],[MONTANT DEPASSEMENT]]*0.005)</f>
        <v>0</v>
      </c>
    </row>
    <row r="89" spans="1:25" x14ac:dyDescent="0.25">
      <c r="A89" s="47"/>
      <c r="B89" s="48">
        <v>550</v>
      </c>
      <c r="C89" s="48" t="s">
        <v>446</v>
      </c>
      <c r="D89" s="48" t="s">
        <v>400</v>
      </c>
      <c r="E89" s="48" t="s">
        <v>401</v>
      </c>
      <c r="F89" s="48" t="s">
        <v>349</v>
      </c>
      <c r="G89" s="48" t="s">
        <v>617</v>
      </c>
      <c r="H89" s="48" t="s">
        <v>50</v>
      </c>
      <c r="I89" s="48"/>
      <c r="J89" s="42"/>
      <c r="K89" s="43"/>
      <c r="L89" s="44"/>
      <c r="M89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89" s="29">
        <f>Tableau13452729313335374951944325[[#This Row],[MONTANT OPERATION]]+Tableau13452729313335374951944325[[#This Row],[POS  FUSIONNEE CPTE AVANT OP]]</f>
        <v>0</v>
      </c>
      <c r="O89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89" s="32" t="e">
        <f>Tableau13452729313335374951944325[[#This Row],[DEPASSEMENT TOTAL SUR AUTO
]]/-Tableau13452729313335374951944325[[#This Row],[MONTANT AUTO]]</f>
        <v>#VALUE!</v>
      </c>
      <c r="T89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89" s="13">
        <f>ABS(Tableau13452729313335374951944325[[#This Row],[MONTANT DEPASSEMENT]]*0.005)</f>
        <v>0</v>
      </c>
    </row>
    <row r="90" spans="1:25" x14ac:dyDescent="0.25">
      <c r="A90" s="47"/>
      <c r="B90" s="48">
        <v>712</v>
      </c>
      <c r="C90" s="48" t="s">
        <v>431</v>
      </c>
      <c r="D90" s="48" t="s">
        <v>246</v>
      </c>
      <c r="E90" s="48" t="s">
        <v>247</v>
      </c>
      <c r="F90" s="48" t="s">
        <v>192</v>
      </c>
      <c r="G90" s="48" t="s">
        <v>534</v>
      </c>
      <c r="H90" s="48" t="s">
        <v>27</v>
      </c>
      <c r="I90" s="48"/>
      <c r="J90" s="42"/>
      <c r="K90" s="43"/>
      <c r="L90" s="44"/>
      <c r="M90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90" s="29">
        <f>Tableau13452729313335374951944325[[#This Row],[MONTANT OPERATION]]+Tableau13452729313335374951944325[[#This Row],[POS  FUSIONNEE CPTE AVANT OP]]</f>
        <v>0</v>
      </c>
      <c r="O90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90" s="32" t="e">
        <f>Tableau13452729313335374951944325[[#This Row],[DEPASSEMENT TOTAL SUR AUTO
]]/-Tableau13452729313335374951944325[[#This Row],[MONTANT AUTO]]</f>
        <v>#VALUE!</v>
      </c>
      <c r="T90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90" s="13">
        <f>ABS(Tableau13452729313335374951944325[[#This Row],[MONTANT DEPASSEMENT]]*0.005)</f>
        <v>0</v>
      </c>
    </row>
    <row r="91" spans="1:25" x14ac:dyDescent="0.25">
      <c r="A91" s="47"/>
      <c r="B91" s="48">
        <v>703</v>
      </c>
      <c r="C91" s="48" t="s">
        <v>453</v>
      </c>
      <c r="D91" s="48" t="s">
        <v>339</v>
      </c>
      <c r="E91" s="48" t="s">
        <v>340</v>
      </c>
      <c r="F91" s="48" t="s">
        <v>49</v>
      </c>
      <c r="G91" s="48" t="s">
        <v>467</v>
      </c>
      <c r="H91" s="48" t="s">
        <v>41</v>
      </c>
      <c r="I91" s="48"/>
      <c r="J91" s="23"/>
      <c r="M91" s="29">
        <v>22508470</v>
      </c>
      <c r="N91" s="29">
        <v>-143058073</v>
      </c>
      <c r="O91" s="29" t="s">
        <v>78</v>
      </c>
      <c r="P91" s="32" t="e">
        <v>#VALUE!</v>
      </c>
      <c r="S91" s="13" t="s">
        <v>101</v>
      </c>
      <c r="T91" s="29">
        <f>IF(Tableau13452729313335374951944325[[#This Row],[0,5% du dép]]&lt;5000,5000,IF(Tableau13452729313335374951944325[[#This Row],[0,5% du dép]]&gt;50000,50000,Tableau13452729313335374951944325[[#This Row],[0,5% du dép]]))</f>
        <v>50000</v>
      </c>
      <c r="U91" s="13">
        <f>ABS(Tableau13452729313335374951944325[[#This Row],[MONTANT DEPASSEMENT]]*0.005)</f>
        <v>112542.35</v>
      </c>
    </row>
    <row r="92" spans="1:25" x14ac:dyDescent="0.25">
      <c r="A92" s="47"/>
      <c r="B92" s="48">
        <v>703</v>
      </c>
      <c r="C92" s="48" t="s">
        <v>453</v>
      </c>
      <c r="D92" s="48" t="s">
        <v>469</v>
      </c>
      <c r="E92" s="48" t="s">
        <v>470</v>
      </c>
      <c r="F92" s="48" t="s">
        <v>304</v>
      </c>
      <c r="G92" s="48" t="s">
        <v>471</v>
      </c>
      <c r="H92" s="48" t="s">
        <v>271</v>
      </c>
      <c r="I92" s="48"/>
      <c r="J92" s="23"/>
      <c r="M92" s="29">
        <v>119939681</v>
      </c>
      <c r="N92" s="29">
        <v>-308014694</v>
      </c>
      <c r="O92" s="29" t="s">
        <v>78</v>
      </c>
      <c r="P92" s="32" t="e">
        <v>#VALUE!</v>
      </c>
      <c r="S92" s="13" t="s">
        <v>101</v>
      </c>
      <c r="T92" s="29">
        <f>IF(Tableau13452729313335374951944325[[#This Row],[0,5% du dép]]&lt;5000,5000,IF(Tableau13452729313335374951944325[[#This Row],[0,5% du dép]]&gt;50000,50000,Tableau13452729313335374951944325[[#This Row],[0,5% du dép]]))</f>
        <v>50000</v>
      </c>
      <c r="U92" s="13">
        <f>ABS(Tableau13452729313335374951944325[[#This Row],[MONTANT DEPASSEMENT]]*0.005)</f>
        <v>599698.40500000003</v>
      </c>
    </row>
    <row r="93" spans="1:25" x14ac:dyDescent="0.25">
      <c r="A93" s="47"/>
      <c r="B93" s="48">
        <v>521</v>
      </c>
      <c r="C93" s="48" t="s">
        <v>611</v>
      </c>
      <c r="D93" s="48" t="s">
        <v>174</v>
      </c>
      <c r="E93" s="48" t="s">
        <v>204</v>
      </c>
      <c r="F93" s="48" t="s">
        <v>205</v>
      </c>
      <c r="G93" s="48" t="s">
        <v>657</v>
      </c>
      <c r="H93" s="48" t="s">
        <v>60</v>
      </c>
      <c r="I93" s="48"/>
      <c r="J93" s="42"/>
      <c r="K93" s="43"/>
      <c r="L93" s="44"/>
      <c r="M93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93" s="29">
        <f>Tableau13452729313335374951944325[[#This Row],[MONTANT OPERATION]]+Tableau13452729313335374951944325[[#This Row],[POS  FUSIONNEE CPTE AVANT OP]]</f>
        <v>0</v>
      </c>
      <c r="O93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93" s="32" t="e">
        <f>Tableau13452729313335374951944325[[#This Row],[DEPASSEMENT TOTAL SUR AUTO
]]/-Tableau13452729313335374951944325[[#This Row],[MONTANT AUTO]]</f>
        <v>#VALUE!</v>
      </c>
      <c r="T93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93" s="13">
        <f>ABS(Tableau13452729313335374951944325[[#This Row],[MONTANT DEPASSEMENT]]*0.005)</f>
        <v>0</v>
      </c>
    </row>
    <row r="94" spans="1:25" x14ac:dyDescent="0.25">
      <c r="A94" s="47"/>
      <c r="B94" s="48">
        <v>703</v>
      </c>
      <c r="C94" s="48" t="s">
        <v>453</v>
      </c>
      <c r="D94" s="48" t="s">
        <v>641</v>
      </c>
      <c r="E94" s="48" t="s">
        <v>642</v>
      </c>
      <c r="F94" s="48" t="s">
        <v>256</v>
      </c>
      <c r="G94" s="48" t="s">
        <v>643</v>
      </c>
      <c r="H94" s="48" t="s">
        <v>93</v>
      </c>
      <c r="I94" s="48"/>
      <c r="J94" s="42"/>
      <c r="K94" s="43"/>
      <c r="L94" s="44"/>
      <c r="M94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94" s="29">
        <f>Tableau13452729313335374951944325[[#This Row],[MONTANT OPERATION]]+Tableau13452729313335374951944325[[#This Row],[POS  FUSIONNEE CPTE AVANT OP]]</f>
        <v>0</v>
      </c>
      <c r="O94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94" s="32" t="e">
        <f>Tableau13452729313335374951944325[[#This Row],[DEPASSEMENT TOTAL SUR AUTO
]]/-Tableau13452729313335374951944325[[#This Row],[MONTANT AUTO]]</f>
        <v>#VALUE!</v>
      </c>
      <c r="T94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94" s="13">
        <f>ABS(Tableau13452729313335374951944325[[#This Row],[MONTANT DEPASSEMENT]]*0.005)</f>
        <v>0</v>
      </c>
    </row>
    <row r="95" spans="1:25" x14ac:dyDescent="0.25">
      <c r="A95" s="47"/>
      <c r="B95" s="48">
        <v>701</v>
      </c>
      <c r="C95" s="48" t="s">
        <v>426</v>
      </c>
      <c r="D95" s="48" t="s">
        <v>309</v>
      </c>
      <c r="E95" s="48" t="s">
        <v>323</v>
      </c>
      <c r="F95" s="48" t="s">
        <v>250</v>
      </c>
      <c r="G95" s="48" t="s">
        <v>452</v>
      </c>
      <c r="H95" s="48" t="s">
        <v>93</v>
      </c>
      <c r="I95" s="48"/>
      <c r="J95" s="14"/>
      <c r="M95" s="29">
        <v>4892458</v>
      </c>
      <c r="N95" s="29">
        <v>-41616910</v>
      </c>
      <c r="O95" s="29">
        <v>1616910</v>
      </c>
      <c r="P95" s="20" t="e">
        <f>Tableau13452729313335374951944325[[#This Row],[DEPASSEMENT TOTAL SUR AUTO
]]/-Tableau13452729313335374951944325[[#This Row],[MONTANT AUTO]]</f>
        <v>#DIV/0!</v>
      </c>
      <c r="R95" s="13" t="s">
        <v>82</v>
      </c>
      <c r="S95" s="13" t="s">
        <v>29</v>
      </c>
      <c r="T95" s="29">
        <v>24462.29</v>
      </c>
      <c r="U95" s="13">
        <v>24462.29</v>
      </c>
      <c r="W95" s="10"/>
      <c r="X95" s="10"/>
      <c r="Y95" s="10"/>
    </row>
    <row r="96" spans="1:25" x14ac:dyDescent="0.25">
      <c r="A96" s="47"/>
      <c r="B96" s="48">
        <v>701</v>
      </c>
      <c r="C96" s="48" t="s">
        <v>426</v>
      </c>
      <c r="D96" s="48" t="s">
        <v>309</v>
      </c>
      <c r="E96" s="48" t="s">
        <v>398</v>
      </c>
      <c r="F96" s="48" t="s">
        <v>116</v>
      </c>
      <c r="G96" s="48" t="s">
        <v>452</v>
      </c>
      <c r="H96" s="48" t="s">
        <v>93</v>
      </c>
      <c r="I96" s="48"/>
      <c r="J96" s="23"/>
      <c r="M96" s="29">
        <v>1500000</v>
      </c>
      <c r="N96" s="29">
        <v>-9090669</v>
      </c>
      <c r="O96" s="29" t="s">
        <v>78</v>
      </c>
      <c r="P96" s="32" t="e">
        <v>#VALUE!</v>
      </c>
      <c r="S96" s="13" t="s">
        <v>43</v>
      </c>
      <c r="T96" s="29">
        <f>IF(Tableau13452729313335374951944325[[#This Row],[0,5% du dép]]&lt;5000,5000,IF(Tableau13452729313335374951944325[[#This Row],[0,5% du dép]]&gt;50000,50000,Tableau13452729313335374951944325[[#This Row],[0,5% du dép]]))</f>
        <v>7500</v>
      </c>
      <c r="U96" s="13">
        <f>ABS(Tableau13452729313335374951944325[[#This Row],[MONTANT DEPASSEMENT]]*0.005)</f>
        <v>7500</v>
      </c>
    </row>
    <row r="97" spans="1:25" x14ac:dyDescent="0.25">
      <c r="A97" s="47"/>
      <c r="B97" s="48">
        <v>713</v>
      </c>
      <c r="C97" s="48" t="s">
        <v>433</v>
      </c>
      <c r="D97" s="48" t="s">
        <v>337</v>
      </c>
      <c r="E97" s="48" t="s">
        <v>338</v>
      </c>
      <c r="F97" s="48" t="s">
        <v>191</v>
      </c>
      <c r="G97" s="48" t="s">
        <v>535</v>
      </c>
      <c r="H97" s="48" t="s">
        <v>31</v>
      </c>
      <c r="I97" s="48"/>
      <c r="J97" s="42"/>
      <c r="K97" s="43"/>
      <c r="L97" s="44"/>
      <c r="M97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97" s="29">
        <f>Tableau13452729313335374951944325[[#This Row],[MONTANT OPERATION]]+Tableau13452729313335374951944325[[#This Row],[POS  FUSIONNEE CPTE AVANT OP]]</f>
        <v>0</v>
      </c>
      <c r="O97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97" s="32" t="e">
        <f>Tableau13452729313335374951944325[[#This Row],[DEPASSEMENT TOTAL SUR AUTO
]]/-Tableau13452729313335374951944325[[#This Row],[MONTANT AUTO]]</f>
        <v>#VALUE!</v>
      </c>
      <c r="T97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97" s="13">
        <f>ABS(Tableau13452729313335374951944325[[#This Row],[MONTANT DEPASSEMENT]]*0.005)</f>
        <v>0</v>
      </c>
    </row>
    <row r="98" spans="1:25" x14ac:dyDescent="0.25">
      <c r="A98" s="47"/>
      <c r="B98" s="48">
        <v>718</v>
      </c>
      <c r="C98" s="48" t="s">
        <v>462</v>
      </c>
      <c r="D98" s="48" t="s">
        <v>75</v>
      </c>
      <c r="E98" s="48" t="s">
        <v>76</v>
      </c>
      <c r="F98" s="48" t="s">
        <v>77</v>
      </c>
      <c r="G98" s="48" t="s">
        <v>571</v>
      </c>
      <c r="H98" s="48" t="s">
        <v>31</v>
      </c>
      <c r="I98" s="48"/>
      <c r="J98" s="42"/>
      <c r="K98" s="43"/>
      <c r="L98" s="44"/>
      <c r="M98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98" s="29">
        <f>Tableau13452729313335374951944325[[#This Row],[MONTANT OPERATION]]+Tableau13452729313335374951944325[[#This Row],[POS  FUSIONNEE CPTE AVANT OP]]</f>
        <v>0</v>
      </c>
      <c r="O98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98" s="32" t="e">
        <f>Tableau13452729313335374951944325[[#This Row],[DEPASSEMENT TOTAL SUR AUTO
]]/-Tableau13452729313335374951944325[[#This Row],[MONTANT AUTO]]</f>
        <v>#VALUE!</v>
      </c>
      <c r="T98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98" s="13">
        <f>ABS(Tableau13452729313335374951944325[[#This Row],[MONTANT DEPASSEMENT]]*0.005)</f>
        <v>0</v>
      </c>
    </row>
    <row r="99" spans="1:25" x14ac:dyDescent="0.25">
      <c r="A99" s="47"/>
      <c r="B99" s="48">
        <v>711</v>
      </c>
      <c r="C99" s="48" t="s">
        <v>427</v>
      </c>
      <c r="D99" s="48" t="s">
        <v>110</v>
      </c>
      <c r="E99" s="48" t="s">
        <v>111</v>
      </c>
      <c r="F99" s="48" t="s">
        <v>192</v>
      </c>
      <c r="G99" s="48" t="s">
        <v>506</v>
      </c>
      <c r="H99" s="48" t="s">
        <v>31</v>
      </c>
      <c r="I99" s="48"/>
      <c r="J99" s="42"/>
      <c r="K99" s="43"/>
      <c r="L99" s="44"/>
      <c r="M99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99" s="29">
        <f>Tableau13452729313335374951944325[[#This Row],[MONTANT OPERATION]]+Tableau13452729313335374951944325[[#This Row],[POS  FUSIONNEE CPTE AVANT OP]]</f>
        <v>0</v>
      </c>
      <c r="O99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99" s="32" t="e">
        <f>Tableau13452729313335374951944325[[#This Row],[DEPASSEMENT TOTAL SUR AUTO
]]/-Tableau13452729313335374951944325[[#This Row],[MONTANT AUTO]]</f>
        <v>#VALUE!</v>
      </c>
      <c r="T99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99" s="13">
        <f>ABS(Tableau13452729313335374951944325[[#This Row],[MONTANT DEPASSEMENT]]*0.005)</f>
        <v>0</v>
      </c>
    </row>
    <row r="100" spans="1:25" x14ac:dyDescent="0.25">
      <c r="A100" s="47"/>
      <c r="B100" s="48">
        <v>705</v>
      </c>
      <c r="C100" s="48" t="s">
        <v>429</v>
      </c>
      <c r="D100" s="48" t="s">
        <v>475</v>
      </c>
      <c r="E100" s="48" t="s">
        <v>476</v>
      </c>
      <c r="F100" s="48" t="s">
        <v>349</v>
      </c>
      <c r="G100" s="48" t="s">
        <v>477</v>
      </c>
      <c r="H100" s="48" t="s">
        <v>31</v>
      </c>
      <c r="I100" s="48"/>
      <c r="J100" s="23"/>
      <c r="M100" s="29">
        <v>2379972</v>
      </c>
      <c r="N100" s="29">
        <v>-412257536</v>
      </c>
      <c r="P100" s="32" t="e">
        <v>#DIV/0!</v>
      </c>
      <c r="S100" s="13" t="s">
        <v>101</v>
      </c>
      <c r="T100" s="29">
        <f>IF(Tableau13452729313335374951944325[[#This Row],[0,5% du dép]]&lt;5000,5000,IF(Tableau13452729313335374951944325[[#This Row],[0,5% du dép]]&gt;50000,50000,Tableau13452729313335374951944325[[#This Row],[0,5% du dép]]))</f>
        <v>11899.86</v>
      </c>
      <c r="U100" s="13">
        <f>ABS(Tableau13452729313335374951944325[[#This Row],[MONTANT DEPASSEMENT]]*0.005)</f>
        <v>11899.86</v>
      </c>
    </row>
    <row r="101" spans="1:25" x14ac:dyDescent="0.25">
      <c r="A101" s="47"/>
      <c r="B101" s="48">
        <v>706</v>
      </c>
      <c r="C101" s="48" t="s">
        <v>494</v>
      </c>
      <c r="D101" s="48" t="s">
        <v>378</v>
      </c>
      <c r="E101" s="48" t="s">
        <v>379</v>
      </c>
      <c r="F101" s="48" t="s">
        <v>116</v>
      </c>
      <c r="G101" s="48" t="s">
        <v>502</v>
      </c>
      <c r="H101" s="48" t="s">
        <v>41</v>
      </c>
      <c r="I101" s="48"/>
      <c r="J101" s="23"/>
      <c r="M101" s="29">
        <v>3303392</v>
      </c>
      <c r="N101" s="29">
        <v>-236722929</v>
      </c>
      <c r="O101" s="29" t="s">
        <v>78</v>
      </c>
      <c r="P101" s="32" t="e">
        <v>#VALUE!</v>
      </c>
      <c r="S101" s="13" t="s">
        <v>101</v>
      </c>
      <c r="T101" s="29">
        <f>IF(Tableau13452729313335374951944325[[#This Row],[0,5% du dép]]&lt;5000,5000,IF(Tableau13452729313335374951944325[[#This Row],[0,5% du dép]]&gt;50000,50000,Tableau13452729313335374951944325[[#This Row],[0,5% du dép]]))</f>
        <v>16516.96</v>
      </c>
      <c r="U101" s="13">
        <f>ABS(Tableau13452729313335374951944325[[#This Row],[MONTANT DEPASSEMENT]]*0.005)</f>
        <v>16516.96</v>
      </c>
    </row>
    <row r="102" spans="1:25" x14ac:dyDescent="0.25">
      <c r="A102" s="47"/>
      <c r="B102" s="48">
        <v>807</v>
      </c>
      <c r="C102" s="48" t="s">
        <v>442</v>
      </c>
      <c r="D102" s="48" t="s">
        <v>163</v>
      </c>
      <c r="E102" s="48" t="s">
        <v>164</v>
      </c>
      <c r="F102" s="48" t="s">
        <v>77</v>
      </c>
      <c r="G102" s="48" t="s">
        <v>629</v>
      </c>
      <c r="H102" s="48" t="s">
        <v>31</v>
      </c>
      <c r="I102" s="48"/>
      <c r="J102" s="42"/>
      <c r="K102" s="43"/>
      <c r="L102" s="44"/>
      <c r="M102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02" s="29">
        <f>Tableau13452729313335374951944325[[#This Row],[MONTANT OPERATION]]+Tableau13452729313335374951944325[[#This Row],[POS  FUSIONNEE CPTE AVANT OP]]</f>
        <v>0</v>
      </c>
      <c r="O102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02" s="32" t="e">
        <f>Tableau13452729313335374951944325[[#This Row],[DEPASSEMENT TOTAL SUR AUTO
]]/-Tableau13452729313335374951944325[[#This Row],[MONTANT AUTO]]</f>
        <v>#VALUE!</v>
      </c>
      <c r="T102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02" s="13">
        <f>ABS(Tableau13452729313335374951944325[[#This Row],[MONTANT DEPASSEMENT]]*0.005)</f>
        <v>0</v>
      </c>
    </row>
    <row r="103" spans="1:25" x14ac:dyDescent="0.25">
      <c r="A103" s="47"/>
      <c r="B103" s="48">
        <v>718</v>
      </c>
      <c r="C103" s="48" t="s">
        <v>462</v>
      </c>
      <c r="D103" s="48" t="s">
        <v>370</v>
      </c>
      <c r="E103" s="48" t="s">
        <v>371</v>
      </c>
      <c r="F103" s="48" t="s">
        <v>92</v>
      </c>
      <c r="G103" s="48" t="s">
        <v>575</v>
      </c>
      <c r="H103" s="48" t="s">
        <v>60</v>
      </c>
      <c r="I103" s="48"/>
      <c r="J103" s="42"/>
      <c r="K103" s="43"/>
      <c r="L103" s="44"/>
      <c r="M103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03" s="29">
        <f>Tableau13452729313335374951944325[[#This Row],[MONTANT OPERATION]]+Tableau13452729313335374951944325[[#This Row],[POS  FUSIONNEE CPTE AVANT OP]]</f>
        <v>0</v>
      </c>
      <c r="O103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03" s="32" t="e">
        <f>Tableau13452729313335374951944325[[#This Row],[DEPASSEMENT TOTAL SUR AUTO
]]/-Tableau13452729313335374951944325[[#This Row],[MONTANT AUTO]]</f>
        <v>#VALUE!</v>
      </c>
      <c r="T103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03" s="13">
        <f>ABS(Tableau13452729313335374951944325[[#This Row],[MONTANT DEPASSEMENT]]*0.005)</f>
        <v>0</v>
      </c>
    </row>
    <row r="104" spans="1:25" x14ac:dyDescent="0.25">
      <c r="A104" s="47"/>
      <c r="B104" s="48">
        <v>715</v>
      </c>
      <c r="C104" s="48" t="s">
        <v>439</v>
      </c>
      <c r="D104" s="48" t="s">
        <v>215</v>
      </c>
      <c r="E104" s="48" t="s">
        <v>216</v>
      </c>
      <c r="F104" s="48" t="s">
        <v>282</v>
      </c>
      <c r="G104" s="48" t="s">
        <v>440</v>
      </c>
      <c r="H104" s="48" t="s">
        <v>31</v>
      </c>
      <c r="I104" s="48"/>
      <c r="J104" s="14"/>
      <c r="M104" s="17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04" s="17">
        <f>Tableau13452729313335374951944325[[#This Row],[MONTANT OPERATION]]+Tableau13452729313335374951944325[[#This Row],[POS  FUSIONNEE CPTE AVANT OP]]</f>
        <v>0</v>
      </c>
      <c r="O104" s="17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04" s="20" t="e">
        <f>Tableau13452729313335374951944325[[#This Row],[DEPASSEMENT TOTAL SUR AUTO
]]/-Tableau13452729313335374951944325[[#This Row],[MONTANT AUTO]]</f>
        <v>#VALUE!</v>
      </c>
      <c r="Q104" s="10"/>
      <c r="R104" s="10"/>
      <c r="S104" s="10" t="s">
        <v>43</v>
      </c>
      <c r="T104" s="17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04" s="10">
        <f>ABS(Tableau13452729313335374951944325[[#This Row],[MONTANT DEPASSEMENT]]*0.005)</f>
        <v>0</v>
      </c>
      <c r="V104" s="10" t="s">
        <v>30</v>
      </c>
      <c r="W104" s="10"/>
      <c r="X104" s="10"/>
      <c r="Y104" s="10"/>
    </row>
    <row r="105" spans="1:25" x14ac:dyDescent="0.25">
      <c r="A105" s="47"/>
      <c r="B105" s="48">
        <v>706</v>
      </c>
      <c r="C105" s="48" t="s">
        <v>494</v>
      </c>
      <c r="D105" s="48" t="s">
        <v>389</v>
      </c>
      <c r="E105" s="48" t="s">
        <v>390</v>
      </c>
      <c r="F105" s="48" t="s">
        <v>196</v>
      </c>
      <c r="G105" s="48" t="s">
        <v>501</v>
      </c>
      <c r="H105" s="48" t="s">
        <v>41</v>
      </c>
      <c r="I105" s="48"/>
      <c r="J105" s="23"/>
      <c r="M105" s="29">
        <v>259749</v>
      </c>
      <c r="N105" s="29">
        <v>-233419537</v>
      </c>
      <c r="O105" s="29" t="s">
        <v>78</v>
      </c>
      <c r="P105" s="32" t="e">
        <v>#VALUE!</v>
      </c>
      <c r="S105" s="13" t="s">
        <v>101</v>
      </c>
      <c r="T105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05" s="13">
        <f>ABS(Tableau13452729313335374951944325[[#This Row],[MONTANT DEPASSEMENT]]*0.005)</f>
        <v>1298.7450000000001</v>
      </c>
    </row>
    <row r="106" spans="1:25" x14ac:dyDescent="0.25">
      <c r="A106" s="47"/>
      <c r="B106" s="48">
        <v>716</v>
      </c>
      <c r="C106" s="48" t="s">
        <v>563</v>
      </c>
      <c r="D106" s="48" t="s">
        <v>586</v>
      </c>
      <c r="E106" s="48" t="s">
        <v>587</v>
      </c>
      <c r="F106" s="48" t="s">
        <v>210</v>
      </c>
      <c r="G106" s="48" t="s">
        <v>588</v>
      </c>
      <c r="H106" s="48" t="s">
        <v>31</v>
      </c>
      <c r="I106" s="48"/>
      <c r="J106" s="42"/>
      <c r="K106" s="43"/>
      <c r="L106" s="44"/>
      <c r="M106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06" s="29">
        <f>Tableau13452729313335374951944325[[#This Row],[MONTANT OPERATION]]+Tableau13452729313335374951944325[[#This Row],[POS  FUSIONNEE CPTE AVANT OP]]</f>
        <v>0</v>
      </c>
      <c r="O106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06" s="32" t="e">
        <f>Tableau13452729313335374951944325[[#This Row],[DEPASSEMENT TOTAL SUR AUTO
]]/-Tableau13452729313335374951944325[[#This Row],[MONTANT AUTO]]</f>
        <v>#VALUE!</v>
      </c>
      <c r="T106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06" s="13">
        <f>ABS(Tableau13452729313335374951944325[[#This Row],[MONTANT DEPASSEMENT]]*0.005)</f>
        <v>0</v>
      </c>
    </row>
    <row r="107" spans="1:25" x14ac:dyDescent="0.25">
      <c r="A107" s="47"/>
      <c r="B107" s="48">
        <v>714</v>
      </c>
      <c r="C107" s="48" t="s">
        <v>435</v>
      </c>
      <c r="D107" s="48" t="s">
        <v>87</v>
      </c>
      <c r="E107" s="48" t="s">
        <v>88</v>
      </c>
      <c r="F107" s="48" t="s">
        <v>89</v>
      </c>
      <c r="G107" s="48" t="s">
        <v>542</v>
      </c>
      <c r="H107" s="48" t="s">
        <v>31</v>
      </c>
      <c r="I107" s="48"/>
      <c r="J107" s="42"/>
      <c r="K107" s="43"/>
      <c r="L107" s="44"/>
      <c r="M107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07" s="29">
        <f>Tableau13452729313335374951944325[[#This Row],[MONTANT OPERATION]]+Tableau13452729313335374951944325[[#This Row],[POS  FUSIONNEE CPTE AVANT OP]]</f>
        <v>0</v>
      </c>
      <c r="O107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07" s="32" t="e">
        <f>Tableau13452729313335374951944325[[#This Row],[DEPASSEMENT TOTAL SUR AUTO
]]/-Tableau13452729313335374951944325[[#This Row],[MONTANT AUTO]]</f>
        <v>#VALUE!</v>
      </c>
      <c r="T107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07" s="13">
        <f>ABS(Tableau13452729313335374951944325[[#This Row],[MONTANT DEPASSEMENT]]*0.005)</f>
        <v>0</v>
      </c>
    </row>
    <row r="108" spans="1:25" x14ac:dyDescent="0.25">
      <c r="A108" s="47"/>
      <c r="B108" s="48">
        <v>701</v>
      </c>
      <c r="C108" s="48" t="s">
        <v>426</v>
      </c>
      <c r="D108" s="48" t="s">
        <v>449</v>
      </c>
      <c r="E108" s="48" t="s">
        <v>450</v>
      </c>
      <c r="F108" s="48" t="s">
        <v>210</v>
      </c>
      <c r="G108" s="48" t="s">
        <v>451</v>
      </c>
      <c r="H108" s="48" t="s">
        <v>47</v>
      </c>
      <c r="I108" s="48"/>
      <c r="J108" s="23"/>
      <c r="L108" s="22"/>
      <c r="M108" s="17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08" s="29">
        <f>Tableau13452729313335374951944325[[#This Row],[MONTANT OPERATION]]+Tableau13452729313335374951944325[[#This Row],[POS  FUSIONNEE CPTE AVANT OP]]</f>
        <v>0</v>
      </c>
      <c r="O108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08" s="20" t="e">
        <f>Tableau13452729313335374951944325[[#This Row],[DEPASSEMENT TOTAL SUR AUTO
]]/-Tableau13452729313335374951944325[[#This Row],[MONTANT AUTO]]</f>
        <v>#VALUE!</v>
      </c>
      <c r="S108" s="13" t="s">
        <v>32</v>
      </c>
      <c r="T108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08" s="13">
        <f>ABS(Tableau13452729313335374951944325[[#This Row],[MONTANT DEPASSEMENT]]*0.005)</f>
        <v>0</v>
      </c>
      <c r="W108" s="10"/>
      <c r="X108" s="10"/>
      <c r="Y108" s="10"/>
    </row>
    <row r="109" spans="1:25" x14ac:dyDescent="0.25">
      <c r="A109" s="47"/>
      <c r="B109" s="48">
        <v>701</v>
      </c>
      <c r="C109" s="48" t="s">
        <v>652</v>
      </c>
      <c r="D109" s="48" t="s">
        <v>449</v>
      </c>
      <c r="E109" s="48" t="s">
        <v>450</v>
      </c>
      <c r="F109" s="48" t="s">
        <v>210</v>
      </c>
      <c r="G109" s="48" t="s">
        <v>451</v>
      </c>
      <c r="H109" s="48" t="s">
        <v>47</v>
      </c>
      <c r="I109" s="48"/>
      <c r="J109" s="42"/>
      <c r="K109" s="43"/>
      <c r="L109" s="44"/>
      <c r="M109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09" s="29">
        <f>Tableau13452729313335374951944325[[#This Row],[MONTANT OPERATION]]+Tableau13452729313335374951944325[[#This Row],[POS  FUSIONNEE CPTE AVANT OP]]</f>
        <v>0</v>
      </c>
      <c r="O109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09" s="32" t="e">
        <f>Tableau13452729313335374951944325[[#This Row],[DEPASSEMENT TOTAL SUR AUTO
]]/-Tableau13452729313335374951944325[[#This Row],[MONTANT AUTO]]</f>
        <v>#VALUE!</v>
      </c>
      <c r="T109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09" s="13">
        <f>ABS(Tableau13452729313335374951944325[[#This Row],[MONTANT DEPASSEMENT]]*0.005)</f>
        <v>0</v>
      </c>
    </row>
    <row r="110" spans="1:25" x14ac:dyDescent="0.25">
      <c r="A110" s="47"/>
      <c r="B110" s="48">
        <v>800</v>
      </c>
      <c r="C110" s="48" t="s">
        <v>444</v>
      </c>
      <c r="D110" s="48" t="s">
        <v>167</v>
      </c>
      <c r="E110" s="48" t="s">
        <v>168</v>
      </c>
      <c r="F110" s="48" t="s">
        <v>210</v>
      </c>
      <c r="G110" s="48" t="s">
        <v>581</v>
      </c>
      <c r="H110" s="48" t="s">
        <v>31</v>
      </c>
      <c r="I110" s="48"/>
      <c r="J110" s="42"/>
      <c r="K110" s="43"/>
      <c r="L110" s="44"/>
      <c r="M110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10" s="29">
        <f>Tableau13452729313335374951944325[[#This Row],[MONTANT OPERATION]]+Tableau13452729313335374951944325[[#This Row],[POS  FUSIONNEE CPTE AVANT OP]]</f>
        <v>0</v>
      </c>
      <c r="O110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10" s="32" t="e">
        <f>Tableau13452729313335374951944325[[#This Row],[DEPASSEMENT TOTAL SUR AUTO
]]/-Tableau13452729313335374951944325[[#This Row],[MONTANT AUTO]]</f>
        <v>#VALUE!</v>
      </c>
      <c r="T110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10" s="13">
        <f>ABS(Tableau13452729313335374951944325[[#This Row],[MONTANT DEPASSEMENT]]*0.005)</f>
        <v>0</v>
      </c>
    </row>
    <row r="111" spans="1:25" x14ac:dyDescent="0.25">
      <c r="A111" s="47"/>
      <c r="B111" s="48">
        <v>703</v>
      </c>
      <c r="C111" s="48" t="s">
        <v>453</v>
      </c>
      <c r="D111" s="48" t="s">
        <v>182</v>
      </c>
      <c r="E111" s="48" t="s">
        <v>322</v>
      </c>
      <c r="F111" s="48" t="s">
        <v>265</v>
      </c>
      <c r="G111" s="48" t="s">
        <v>554</v>
      </c>
      <c r="H111" s="48" t="s">
        <v>47</v>
      </c>
      <c r="I111" s="48"/>
      <c r="J111" s="42"/>
      <c r="K111" s="43"/>
      <c r="L111" s="44"/>
      <c r="M111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11" s="29">
        <f>Tableau13452729313335374951944325[[#This Row],[MONTANT OPERATION]]+Tableau13452729313335374951944325[[#This Row],[POS  FUSIONNEE CPTE AVANT OP]]</f>
        <v>0</v>
      </c>
      <c r="O111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11" s="32" t="e">
        <f>Tableau13452729313335374951944325[[#This Row],[DEPASSEMENT TOTAL SUR AUTO
]]/-Tableau13452729313335374951944325[[#This Row],[MONTANT AUTO]]</f>
        <v>#VALUE!</v>
      </c>
      <c r="T111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11" s="13">
        <f>ABS(Tableau13452729313335374951944325[[#This Row],[MONTANT DEPASSEMENT]]*0.005)</f>
        <v>0</v>
      </c>
    </row>
    <row r="112" spans="1:25" x14ac:dyDescent="0.25">
      <c r="A112" s="47"/>
      <c r="B112" s="48">
        <v>800</v>
      </c>
      <c r="C112" s="48" t="s">
        <v>444</v>
      </c>
      <c r="D112" s="48" t="s">
        <v>188</v>
      </c>
      <c r="E112" s="48" t="s">
        <v>189</v>
      </c>
      <c r="F112" s="48" t="s">
        <v>203</v>
      </c>
      <c r="G112" s="48" t="s">
        <v>624</v>
      </c>
      <c r="H112" s="48" t="s">
        <v>31</v>
      </c>
      <c r="I112" s="48"/>
      <c r="J112" s="42"/>
      <c r="K112" s="43"/>
      <c r="L112" s="44"/>
      <c r="M112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12" s="29">
        <f>Tableau13452729313335374951944325[[#This Row],[MONTANT OPERATION]]+Tableau13452729313335374951944325[[#This Row],[POS  FUSIONNEE CPTE AVANT OP]]</f>
        <v>0</v>
      </c>
      <c r="O112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12" s="32" t="e">
        <f>Tableau13452729313335374951944325[[#This Row],[DEPASSEMENT TOTAL SUR AUTO
]]/-Tableau13452729313335374951944325[[#This Row],[MONTANT AUTO]]</f>
        <v>#VALUE!</v>
      </c>
      <c r="T112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12" s="13">
        <f>ABS(Tableau13452729313335374951944325[[#This Row],[MONTANT DEPASSEMENT]]*0.005)</f>
        <v>0</v>
      </c>
    </row>
    <row r="113" spans="1:21" x14ac:dyDescent="0.25">
      <c r="A113" s="47"/>
      <c r="B113" s="48">
        <v>712</v>
      </c>
      <c r="C113" s="48" t="s">
        <v>431</v>
      </c>
      <c r="D113" s="48" t="s">
        <v>523</v>
      </c>
      <c r="E113" s="48" t="s">
        <v>524</v>
      </c>
      <c r="F113" s="48" t="s">
        <v>220</v>
      </c>
      <c r="G113" s="48" t="s">
        <v>525</v>
      </c>
      <c r="H113" s="48" t="s">
        <v>31</v>
      </c>
      <c r="I113" s="48"/>
      <c r="J113" s="42"/>
      <c r="K113" s="43"/>
      <c r="L113" s="44"/>
      <c r="M113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13" s="29">
        <f>Tableau13452729313335374951944325[[#This Row],[MONTANT OPERATION]]+Tableau13452729313335374951944325[[#This Row],[POS  FUSIONNEE CPTE AVANT OP]]</f>
        <v>0</v>
      </c>
      <c r="O113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13" s="32" t="e">
        <f>Tableau13452729313335374951944325[[#This Row],[DEPASSEMENT TOTAL SUR AUTO
]]/-Tableau13452729313335374951944325[[#This Row],[MONTANT AUTO]]</f>
        <v>#VALUE!</v>
      </c>
      <c r="T113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13" s="13">
        <f>ABS(Tableau13452729313335374951944325[[#This Row],[MONTANT DEPASSEMENT]]*0.005)</f>
        <v>0</v>
      </c>
    </row>
    <row r="114" spans="1:21" x14ac:dyDescent="0.25">
      <c r="A114" s="47"/>
      <c r="B114" s="48">
        <v>718</v>
      </c>
      <c r="C114" s="48" t="s">
        <v>462</v>
      </c>
      <c r="D114" s="48" t="s">
        <v>325</v>
      </c>
      <c r="E114" s="48" t="s">
        <v>326</v>
      </c>
      <c r="F114" s="48" t="s">
        <v>312</v>
      </c>
      <c r="G114" s="48" t="s">
        <v>568</v>
      </c>
      <c r="H114" s="48" t="s">
        <v>60</v>
      </c>
      <c r="I114" s="48"/>
      <c r="J114" s="42"/>
      <c r="K114" s="43"/>
      <c r="L114" s="44"/>
      <c r="M114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14" s="29">
        <f>Tableau13452729313335374951944325[[#This Row],[MONTANT OPERATION]]+Tableau13452729313335374951944325[[#This Row],[POS  FUSIONNEE CPTE AVANT OP]]</f>
        <v>0</v>
      </c>
      <c r="O114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14" s="32" t="e">
        <f>Tableau13452729313335374951944325[[#This Row],[DEPASSEMENT TOTAL SUR AUTO
]]/-Tableau13452729313335374951944325[[#This Row],[MONTANT AUTO]]</f>
        <v>#VALUE!</v>
      </c>
      <c r="T114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14" s="13">
        <f>ABS(Tableau13452729313335374951944325[[#This Row],[MONTANT DEPASSEMENT]]*0.005)</f>
        <v>0</v>
      </c>
    </row>
    <row r="115" spans="1:21" x14ac:dyDescent="0.25">
      <c r="A115" s="47"/>
      <c r="B115" s="48">
        <v>718</v>
      </c>
      <c r="C115" s="48" t="s">
        <v>462</v>
      </c>
      <c r="D115" s="48" t="s">
        <v>280</v>
      </c>
      <c r="E115" s="48" t="s">
        <v>281</v>
      </c>
      <c r="F115" s="48" t="s">
        <v>282</v>
      </c>
      <c r="G115" s="48" t="s">
        <v>662</v>
      </c>
      <c r="H115" s="48" t="s">
        <v>31</v>
      </c>
      <c r="I115" s="48"/>
      <c r="J115" s="42"/>
      <c r="K115" s="43"/>
      <c r="L115" s="44"/>
      <c r="M115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15" s="29">
        <f>Tableau13452729313335374951944325[[#This Row],[MONTANT OPERATION]]+Tableau13452729313335374951944325[[#This Row],[POS  FUSIONNEE CPTE AVANT OP]]</f>
        <v>0</v>
      </c>
      <c r="O115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15" s="32" t="e">
        <f>Tableau13452729313335374951944325[[#This Row],[DEPASSEMENT TOTAL SUR AUTO
]]/-Tableau13452729313335374951944325[[#This Row],[MONTANT AUTO]]</f>
        <v>#VALUE!</v>
      </c>
      <c r="T115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15" s="13">
        <f>ABS(Tableau13452729313335374951944325[[#This Row],[MONTANT DEPASSEMENT]]*0.005)</f>
        <v>0</v>
      </c>
    </row>
    <row r="116" spans="1:21" x14ac:dyDescent="0.25">
      <c r="A116" s="47"/>
      <c r="B116" s="48">
        <v>718</v>
      </c>
      <c r="C116" s="48" t="s">
        <v>462</v>
      </c>
      <c r="D116" s="48" t="s">
        <v>185</v>
      </c>
      <c r="E116" s="48" t="s">
        <v>186</v>
      </c>
      <c r="F116" s="48" t="s">
        <v>346</v>
      </c>
      <c r="G116" s="48" t="s">
        <v>567</v>
      </c>
      <c r="H116" s="48" t="s">
        <v>31</v>
      </c>
      <c r="I116" s="48"/>
      <c r="J116" s="42"/>
      <c r="K116" s="43"/>
      <c r="L116" s="44"/>
      <c r="M116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16" s="29">
        <f>Tableau13452729313335374951944325[[#This Row],[MONTANT OPERATION]]+Tableau13452729313335374951944325[[#This Row],[POS  FUSIONNEE CPTE AVANT OP]]</f>
        <v>0</v>
      </c>
      <c r="O116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16" s="32" t="e">
        <f>Tableau13452729313335374951944325[[#This Row],[DEPASSEMENT TOTAL SUR AUTO
]]/-Tableau13452729313335374951944325[[#This Row],[MONTANT AUTO]]</f>
        <v>#VALUE!</v>
      </c>
      <c r="T116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16" s="13">
        <f>ABS(Tableau13452729313335374951944325[[#This Row],[MONTANT DEPASSEMENT]]*0.005)</f>
        <v>0</v>
      </c>
    </row>
    <row r="117" spans="1:21" x14ac:dyDescent="0.25">
      <c r="A117" s="47"/>
      <c r="B117" s="48">
        <v>714</v>
      </c>
      <c r="C117" s="48" t="s">
        <v>435</v>
      </c>
      <c r="D117" s="48" t="s">
        <v>68</v>
      </c>
      <c r="E117" s="48" t="s">
        <v>69</v>
      </c>
      <c r="F117" s="48" t="s">
        <v>267</v>
      </c>
      <c r="G117" s="48" t="s">
        <v>541</v>
      </c>
      <c r="H117" s="48" t="s">
        <v>31</v>
      </c>
      <c r="I117" s="48"/>
      <c r="J117" s="42"/>
      <c r="K117" s="43"/>
      <c r="L117" s="44"/>
      <c r="M117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17" s="29">
        <f>Tableau13452729313335374951944325[[#This Row],[MONTANT OPERATION]]+Tableau13452729313335374951944325[[#This Row],[POS  FUSIONNEE CPTE AVANT OP]]</f>
        <v>0</v>
      </c>
      <c r="O117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17" s="32" t="e">
        <f>Tableau13452729313335374951944325[[#This Row],[DEPASSEMENT TOTAL SUR AUTO
]]/-Tableau13452729313335374951944325[[#This Row],[MONTANT AUTO]]</f>
        <v>#VALUE!</v>
      </c>
      <c r="T117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17" s="13">
        <f>ABS(Tableau13452729313335374951944325[[#This Row],[MONTANT DEPASSEMENT]]*0.005)</f>
        <v>0</v>
      </c>
    </row>
    <row r="118" spans="1:21" x14ac:dyDescent="0.25">
      <c r="A118" s="47"/>
      <c r="B118" s="48">
        <v>800</v>
      </c>
      <c r="C118" s="48" t="s">
        <v>444</v>
      </c>
      <c r="D118" s="48" t="s">
        <v>232</v>
      </c>
      <c r="E118" s="48" t="s">
        <v>233</v>
      </c>
      <c r="F118" s="48" t="s">
        <v>152</v>
      </c>
      <c r="G118" s="48" t="s">
        <v>465</v>
      </c>
      <c r="H118" s="48" t="s">
        <v>31</v>
      </c>
      <c r="I118" s="48"/>
      <c r="J118" s="23"/>
      <c r="M118" s="29">
        <v>22508470</v>
      </c>
      <c r="N118" s="29">
        <v>-98041133</v>
      </c>
      <c r="O118" s="29" t="s">
        <v>78</v>
      </c>
      <c r="P118" s="32" t="e">
        <v>#VALUE!</v>
      </c>
      <c r="S118" s="13" t="s">
        <v>101</v>
      </c>
      <c r="T118" s="29">
        <f>IF(Tableau13452729313335374951944325[[#This Row],[0,5% du dép]]&lt;5000,5000,IF(Tableau13452729313335374951944325[[#This Row],[0,5% du dép]]&gt;50000,50000,Tableau13452729313335374951944325[[#This Row],[0,5% du dép]]))</f>
        <v>50000</v>
      </c>
      <c r="U118" s="13">
        <f>ABS(Tableau13452729313335374951944325[[#This Row],[MONTANT DEPASSEMENT]]*0.005)</f>
        <v>112542.35</v>
      </c>
    </row>
    <row r="119" spans="1:21" x14ac:dyDescent="0.25">
      <c r="A119" s="47"/>
      <c r="B119" s="48">
        <v>800</v>
      </c>
      <c r="C119" s="48" t="s">
        <v>444</v>
      </c>
      <c r="D119" s="48" t="s">
        <v>232</v>
      </c>
      <c r="E119" s="48" t="s">
        <v>666</v>
      </c>
      <c r="F119" s="48" t="s">
        <v>346</v>
      </c>
      <c r="G119" s="48" t="s">
        <v>465</v>
      </c>
      <c r="H119" s="48" t="s">
        <v>31</v>
      </c>
      <c r="I119" s="48"/>
      <c r="J119" s="42"/>
      <c r="K119" s="43"/>
      <c r="L119" s="44"/>
      <c r="M119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19" s="29">
        <f>Tableau13452729313335374951944325[[#This Row],[MONTANT OPERATION]]+Tableau13452729313335374951944325[[#This Row],[POS  FUSIONNEE CPTE AVANT OP]]</f>
        <v>0</v>
      </c>
      <c r="O119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19" s="32" t="e">
        <f>Tableau13452729313335374951944325[[#This Row],[DEPASSEMENT TOTAL SUR AUTO
]]/-Tableau13452729313335374951944325[[#This Row],[MONTANT AUTO]]</f>
        <v>#VALUE!</v>
      </c>
      <c r="T119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19" s="13">
        <f>ABS(Tableau13452729313335374951944325[[#This Row],[MONTANT DEPASSEMENT]]*0.005)</f>
        <v>0</v>
      </c>
    </row>
    <row r="120" spans="1:21" x14ac:dyDescent="0.25">
      <c r="A120" s="47"/>
      <c r="B120" s="48">
        <v>803</v>
      </c>
      <c r="C120" s="48" t="s">
        <v>447</v>
      </c>
      <c r="D120" s="48" t="s">
        <v>386</v>
      </c>
      <c r="E120" s="48" t="s">
        <v>387</v>
      </c>
      <c r="F120" s="48" t="s">
        <v>228</v>
      </c>
      <c r="G120" s="48" t="s">
        <v>559</v>
      </c>
      <c r="H120" s="48" t="s">
        <v>27</v>
      </c>
      <c r="I120" s="48"/>
      <c r="J120" s="42"/>
      <c r="K120" s="43"/>
      <c r="L120" s="44"/>
      <c r="M120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20" s="29">
        <f>Tableau13452729313335374951944325[[#This Row],[MONTANT OPERATION]]+Tableau13452729313335374951944325[[#This Row],[POS  FUSIONNEE CPTE AVANT OP]]</f>
        <v>0</v>
      </c>
      <c r="O120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20" s="32" t="e">
        <f>Tableau13452729313335374951944325[[#This Row],[DEPASSEMENT TOTAL SUR AUTO
]]/-Tableau13452729313335374951944325[[#This Row],[MONTANT AUTO]]</f>
        <v>#VALUE!</v>
      </c>
      <c r="T120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20" s="13">
        <f>ABS(Tableau13452729313335374951944325[[#This Row],[MONTANT DEPASSEMENT]]*0.005)</f>
        <v>0</v>
      </c>
    </row>
    <row r="121" spans="1:21" x14ac:dyDescent="0.25">
      <c r="A121" s="47"/>
      <c r="B121" s="48">
        <v>803</v>
      </c>
      <c r="C121" s="48" t="s">
        <v>447</v>
      </c>
      <c r="D121" s="48" t="s">
        <v>386</v>
      </c>
      <c r="E121" s="48" t="s">
        <v>388</v>
      </c>
      <c r="F121" s="48" t="s">
        <v>327</v>
      </c>
      <c r="G121" s="48" t="s">
        <v>559</v>
      </c>
      <c r="H121" s="48" t="s">
        <v>27</v>
      </c>
      <c r="I121" s="48"/>
      <c r="J121" s="42"/>
      <c r="K121" s="43"/>
      <c r="L121" s="44"/>
      <c r="M121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21" s="29">
        <f>Tableau13452729313335374951944325[[#This Row],[MONTANT OPERATION]]+Tableau13452729313335374951944325[[#This Row],[POS  FUSIONNEE CPTE AVANT OP]]</f>
        <v>0</v>
      </c>
      <c r="O121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21" s="32" t="e">
        <f>Tableau13452729313335374951944325[[#This Row],[DEPASSEMENT TOTAL SUR AUTO
]]/-Tableau13452729313335374951944325[[#This Row],[MONTANT AUTO]]</f>
        <v>#VALUE!</v>
      </c>
      <c r="T121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21" s="13">
        <f>ABS(Tableau13452729313335374951944325[[#This Row],[MONTANT DEPASSEMENT]]*0.005)</f>
        <v>0</v>
      </c>
    </row>
    <row r="122" spans="1:21" x14ac:dyDescent="0.25">
      <c r="A122" s="47"/>
      <c r="B122" s="48">
        <v>713</v>
      </c>
      <c r="C122" s="48" t="s">
        <v>433</v>
      </c>
      <c r="D122" s="48" t="s">
        <v>555</v>
      </c>
      <c r="E122" s="48" t="s">
        <v>556</v>
      </c>
      <c r="F122" s="48" t="s">
        <v>266</v>
      </c>
      <c r="G122" s="48" t="s">
        <v>557</v>
      </c>
      <c r="H122" s="48" t="s">
        <v>27</v>
      </c>
      <c r="I122" s="48"/>
      <c r="J122" s="42"/>
      <c r="K122" s="43"/>
      <c r="L122" s="44"/>
      <c r="M122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22" s="29">
        <f>Tableau13452729313335374951944325[[#This Row],[MONTANT OPERATION]]+Tableau13452729313335374951944325[[#This Row],[POS  FUSIONNEE CPTE AVANT OP]]</f>
        <v>0</v>
      </c>
      <c r="O122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22" s="32" t="e">
        <f>Tableau13452729313335374951944325[[#This Row],[DEPASSEMENT TOTAL SUR AUTO
]]/-Tableau13452729313335374951944325[[#This Row],[MONTANT AUTO]]</f>
        <v>#VALUE!</v>
      </c>
      <c r="T122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22" s="13">
        <f>ABS(Tableau13452729313335374951944325[[#This Row],[MONTANT DEPASSEMENT]]*0.005)</f>
        <v>0</v>
      </c>
    </row>
    <row r="123" spans="1:21" x14ac:dyDescent="0.25">
      <c r="A123" s="47"/>
      <c r="B123" s="48">
        <v>718</v>
      </c>
      <c r="C123" s="48" t="s">
        <v>462</v>
      </c>
      <c r="D123" s="48" t="s">
        <v>193</v>
      </c>
      <c r="E123" s="48" t="s">
        <v>55</v>
      </c>
      <c r="F123" s="48" t="s">
        <v>92</v>
      </c>
      <c r="G123" s="48" t="s">
        <v>648</v>
      </c>
      <c r="H123" s="48" t="s">
        <v>27</v>
      </c>
      <c r="I123" s="48"/>
      <c r="J123" s="42"/>
      <c r="K123" s="43"/>
      <c r="L123" s="44"/>
      <c r="M123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23" s="29">
        <f>Tableau13452729313335374951944325[[#This Row],[MONTANT OPERATION]]+Tableau13452729313335374951944325[[#This Row],[POS  FUSIONNEE CPTE AVANT OP]]</f>
        <v>0</v>
      </c>
      <c r="O123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23" s="32" t="e">
        <f>Tableau13452729313335374951944325[[#This Row],[DEPASSEMENT TOTAL SUR AUTO
]]/-Tableau13452729313335374951944325[[#This Row],[MONTANT AUTO]]</f>
        <v>#VALUE!</v>
      </c>
      <c r="T123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23" s="13">
        <f>ABS(Tableau13452729313335374951944325[[#This Row],[MONTANT DEPASSEMENT]]*0.005)</f>
        <v>0</v>
      </c>
    </row>
    <row r="124" spans="1:21" x14ac:dyDescent="0.25">
      <c r="A124" s="47"/>
      <c r="B124" s="48">
        <v>718</v>
      </c>
      <c r="C124" s="48" t="s">
        <v>462</v>
      </c>
      <c r="D124" s="48" t="s">
        <v>645</v>
      </c>
      <c r="E124" s="48" t="s">
        <v>646</v>
      </c>
      <c r="F124" s="48" t="s">
        <v>294</v>
      </c>
      <c r="G124" s="48" t="s">
        <v>647</v>
      </c>
      <c r="H124" s="48" t="s">
        <v>31</v>
      </c>
      <c r="I124" s="48"/>
      <c r="J124" s="42"/>
      <c r="K124" s="43"/>
      <c r="L124" s="44"/>
      <c r="M124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24" s="29">
        <f>Tableau13452729313335374951944325[[#This Row],[MONTANT OPERATION]]+Tableau13452729313335374951944325[[#This Row],[POS  FUSIONNEE CPTE AVANT OP]]</f>
        <v>0</v>
      </c>
      <c r="O124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24" s="32" t="e">
        <f>Tableau13452729313335374951944325[[#This Row],[DEPASSEMENT TOTAL SUR AUTO
]]/-Tableau13452729313335374951944325[[#This Row],[MONTANT AUTO]]</f>
        <v>#VALUE!</v>
      </c>
      <c r="T124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24" s="13">
        <f>ABS(Tableau13452729313335374951944325[[#This Row],[MONTANT DEPASSEMENT]]*0.005)</f>
        <v>0</v>
      </c>
    </row>
    <row r="125" spans="1:21" x14ac:dyDescent="0.25">
      <c r="A125" s="47"/>
      <c r="B125" s="48">
        <v>703</v>
      </c>
      <c r="C125" s="48" t="s">
        <v>453</v>
      </c>
      <c r="D125" s="48" t="s">
        <v>287</v>
      </c>
      <c r="E125" s="48" t="s">
        <v>288</v>
      </c>
      <c r="F125" s="48" t="s">
        <v>49</v>
      </c>
      <c r="G125" s="48" t="s">
        <v>456</v>
      </c>
      <c r="H125" s="48" t="s">
        <v>47</v>
      </c>
      <c r="I125" s="48"/>
      <c r="J125" s="23"/>
      <c r="M125" s="29">
        <v>4145960</v>
      </c>
      <c r="N125" s="29">
        <v>-304145960</v>
      </c>
      <c r="O125" s="29">
        <v>4145960</v>
      </c>
      <c r="P125" s="32">
        <v>1.3819866666666666E-2</v>
      </c>
      <c r="S125" s="13" t="s">
        <v>29</v>
      </c>
      <c r="T125" s="29">
        <f>IF(Tableau13452729313335374951944325[[#This Row],[0,5% du dép]]&lt;5000,5000,IF(Tableau13452729313335374951944325[[#This Row],[0,5% du dép]]&gt;50000,50000,Tableau13452729313335374951944325[[#This Row],[0,5% du dép]]))</f>
        <v>20729.8</v>
      </c>
      <c r="U125" s="13">
        <f>ABS(Tableau13452729313335374951944325[[#This Row],[MONTANT DEPASSEMENT]]*0.005)</f>
        <v>20729.8</v>
      </c>
    </row>
    <row r="126" spans="1:21" x14ac:dyDescent="0.25">
      <c r="A126" s="47"/>
      <c r="B126" s="48">
        <v>803</v>
      </c>
      <c r="C126" s="48" t="s">
        <v>447</v>
      </c>
      <c r="D126" s="48" t="s">
        <v>384</v>
      </c>
      <c r="E126" s="48" t="s">
        <v>385</v>
      </c>
      <c r="F126" s="48" t="s">
        <v>303</v>
      </c>
      <c r="G126" s="48" t="s">
        <v>603</v>
      </c>
      <c r="H126" s="48" t="s">
        <v>31</v>
      </c>
      <c r="I126" s="48"/>
      <c r="J126" s="42"/>
      <c r="K126" s="43"/>
      <c r="L126" s="44"/>
      <c r="M126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26" s="29">
        <f>Tableau13452729313335374951944325[[#This Row],[MONTANT OPERATION]]+Tableau13452729313335374951944325[[#This Row],[POS  FUSIONNEE CPTE AVANT OP]]</f>
        <v>0</v>
      </c>
      <c r="O126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26" s="32" t="e">
        <f>Tableau13452729313335374951944325[[#This Row],[DEPASSEMENT TOTAL SUR AUTO
]]/-Tableau13452729313335374951944325[[#This Row],[MONTANT AUTO]]</f>
        <v>#VALUE!</v>
      </c>
      <c r="T126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26" s="13">
        <f>ABS(Tableau13452729313335374951944325[[#This Row],[MONTANT DEPASSEMENT]]*0.005)</f>
        <v>0</v>
      </c>
    </row>
    <row r="127" spans="1:21" x14ac:dyDescent="0.25">
      <c r="A127" s="47"/>
      <c r="B127" s="48">
        <v>718</v>
      </c>
      <c r="C127" s="48" t="s">
        <v>462</v>
      </c>
      <c r="D127" s="48" t="s">
        <v>367</v>
      </c>
      <c r="E127" s="48" t="s">
        <v>368</v>
      </c>
      <c r="F127" s="48" t="s">
        <v>230</v>
      </c>
      <c r="G127" s="48" t="s">
        <v>570</v>
      </c>
      <c r="H127" s="48" t="s">
        <v>31</v>
      </c>
      <c r="I127" s="48"/>
      <c r="J127" s="42"/>
      <c r="K127" s="43"/>
      <c r="L127" s="44"/>
      <c r="M127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27" s="29">
        <f>Tableau13452729313335374951944325[[#This Row],[MONTANT OPERATION]]+Tableau13452729313335374951944325[[#This Row],[POS  FUSIONNEE CPTE AVANT OP]]</f>
        <v>0</v>
      </c>
      <c r="O127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27" s="32" t="e">
        <f>Tableau13452729313335374951944325[[#This Row],[DEPASSEMENT TOTAL SUR AUTO
]]/-Tableau13452729313335374951944325[[#This Row],[MONTANT AUTO]]</f>
        <v>#VALUE!</v>
      </c>
      <c r="T127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27" s="13">
        <f>ABS(Tableau13452729313335374951944325[[#This Row],[MONTANT DEPASSEMENT]]*0.005)</f>
        <v>0</v>
      </c>
    </row>
    <row r="128" spans="1:21" x14ac:dyDescent="0.25">
      <c r="A128" s="47"/>
      <c r="B128" s="48">
        <v>715</v>
      </c>
      <c r="C128" s="48" t="s">
        <v>439</v>
      </c>
      <c r="D128" s="48" t="s">
        <v>328</v>
      </c>
      <c r="E128" s="48" t="s">
        <v>329</v>
      </c>
      <c r="F128" s="48" t="s">
        <v>203</v>
      </c>
      <c r="G128" s="48" t="s">
        <v>530</v>
      </c>
      <c r="H128" s="48" t="s">
        <v>27</v>
      </c>
      <c r="I128" s="48"/>
      <c r="J128" s="42"/>
      <c r="K128" s="43"/>
      <c r="L128" s="44"/>
      <c r="M128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28" s="29">
        <f>Tableau13452729313335374951944325[[#This Row],[MONTANT OPERATION]]+Tableau13452729313335374951944325[[#This Row],[POS  FUSIONNEE CPTE AVANT OP]]</f>
        <v>0</v>
      </c>
      <c r="O128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28" s="32" t="e">
        <f>Tableau13452729313335374951944325[[#This Row],[DEPASSEMENT TOTAL SUR AUTO
]]/-Tableau13452729313335374951944325[[#This Row],[MONTANT AUTO]]</f>
        <v>#VALUE!</v>
      </c>
      <c r="T128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28" s="13">
        <f>ABS(Tableau13452729313335374951944325[[#This Row],[MONTANT DEPASSEMENT]]*0.005)</f>
        <v>0</v>
      </c>
    </row>
    <row r="129" spans="1:25" x14ac:dyDescent="0.25">
      <c r="A129" s="47"/>
      <c r="B129" s="48">
        <v>718</v>
      </c>
      <c r="C129" s="48" t="s">
        <v>462</v>
      </c>
      <c r="D129" s="48" t="s">
        <v>285</v>
      </c>
      <c r="E129" s="48" t="s">
        <v>286</v>
      </c>
      <c r="F129" s="48" t="s">
        <v>199</v>
      </c>
      <c r="G129" s="48" t="s">
        <v>661</v>
      </c>
      <c r="H129" s="48" t="s">
        <v>31</v>
      </c>
      <c r="I129" s="48"/>
      <c r="J129" s="42"/>
      <c r="K129" s="43"/>
      <c r="L129" s="44"/>
      <c r="M129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29" s="29">
        <f>Tableau13452729313335374951944325[[#This Row],[MONTANT OPERATION]]+Tableau13452729313335374951944325[[#This Row],[POS  FUSIONNEE CPTE AVANT OP]]</f>
        <v>0</v>
      </c>
      <c r="O129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29" s="32" t="e">
        <f>Tableau13452729313335374951944325[[#This Row],[DEPASSEMENT TOTAL SUR AUTO
]]/-Tableau13452729313335374951944325[[#This Row],[MONTANT AUTO]]</f>
        <v>#VALUE!</v>
      </c>
      <c r="T129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29" s="13">
        <f>ABS(Tableau13452729313335374951944325[[#This Row],[MONTANT DEPASSEMENT]]*0.005)</f>
        <v>0</v>
      </c>
    </row>
    <row r="130" spans="1:25" x14ac:dyDescent="0.25">
      <c r="A130" s="47"/>
      <c r="B130" s="48">
        <v>701</v>
      </c>
      <c r="C130" s="48" t="s">
        <v>426</v>
      </c>
      <c r="D130" s="48" t="s">
        <v>44</v>
      </c>
      <c r="E130" s="48" t="s">
        <v>45</v>
      </c>
      <c r="F130" s="48" t="s">
        <v>117</v>
      </c>
      <c r="G130" s="48" t="s">
        <v>46</v>
      </c>
      <c r="H130" s="48" t="s">
        <v>47</v>
      </c>
      <c r="I130" s="48"/>
      <c r="J130" s="14"/>
      <c r="M130" s="17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30" s="17">
        <f>Tableau13452729313335374951944325[[#This Row],[MONTANT OPERATION]]+Tableau13452729313335374951944325[[#This Row],[POS  FUSIONNEE CPTE AVANT OP]]</f>
        <v>0</v>
      </c>
      <c r="O130" s="17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30" s="18" t="e">
        <f>Tableau13452729313335374951944325[[#This Row],[DEPASSEMENT TOTAL SUR AUTO
]]/-Tableau13452729313335374951944325[[#This Row],[MONTANT AUTO]]</f>
        <v>#VALUE!</v>
      </c>
      <c r="Q130" s="9"/>
      <c r="R130" s="10"/>
      <c r="S130" s="10" t="s">
        <v>29</v>
      </c>
      <c r="T130" s="17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30" s="10">
        <f>ABS(Tableau13452729313335374951944325[[#This Row],[MONTANT DEPASSEMENT]]*0.005)</f>
        <v>0</v>
      </c>
      <c r="V130" s="10" t="s">
        <v>30</v>
      </c>
      <c r="W130" s="10"/>
      <c r="X130" s="10"/>
      <c r="Y130" s="10"/>
    </row>
    <row r="131" spans="1:25" x14ac:dyDescent="0.25">
      <c r="A131" s="47"/>
      <c r="B131" s="48">
        <v>713</v>
      </c>
      <c r="C131" s="48" t="s">
        <v>433</v>
      </c>
      <c r="D131" s="48" t="s">
        <v>347</v>
      </c>
      <c r="E131" s="48" t="s">
        <v>348</v>
      </c>
      <c r="F131" s="48" t="s">
        <v>265</v>
      </c>
      <c r="G131" s="48" t="s">
        <v>539</v>
      </c>
      <c r="H131" s="48" t="s">
        <v>31</v>
      </c>
      <c r="I131" s="48"/>
      <c r="J131" s="42"/>
      <c r="K131" s="43"/>
      <c r="L131" s="44"/>
      <c r="M131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31" s="29">
        <f>Tableau13452729313335374951944325[[#This Row],[MONTANT OPERATION]]+Tableau13452729313335374951944325[[#This Row],[POS  FUSIONNEE CPTE AVANT OP]]</f>
        <v>0</v>
      </c>
      <c r="O131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31" s="32" t="e">
        <f>Tableau13452729313335374951944325[[#This Row],[DEPASSEMENT TOTAL SUR AUTO
]]/-Tableau13452729313335374951944325[[#This Row],[MONTANT AUTO]]</f>
        <v>#VALUE!</v>
      </c>
      <c r="T131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31" s="13">
        <f>ABS(Tableau13452729313335374951944325[[#This Row],[MONTANT DEPASSEMENT]]*0.005)</f>
        <v>0</v>
      </c>
    </row>
    <row r="132" spans="1:25" x14ac:dyDescent="0.25">
      <c r="A132" s="47"/>
      <c r="B132" s="48">
        <v>703</v>
      </c>
      <c r="C132" s="48" t="s">
        <v>453</v>
      </c>
      <c r="D132" s="48" t="s">
        <v>67</v>
      </c>
      <c r="E132" s="48" t="s">
        <v>291</v>
      </c>
      <c r="F132" s="48" t="s">
        <v>292</v>
      </c>
      <c r="G132" s="48" t="s">
        <v>455</v>
      </c>
      <c r="H132" s="48" t="s">
        <v>47</v>
      </c>
      <c r="I132" s="48"/>
      <c r="J132" s="23"/>
      <c r="M132" s="29">
        <v>6437544</v>
      </c>
      <c r="N132" s="29">
        <v>-1499213255</v>
      </c>
      <c r="O132" s="29" t="s">
        <v>78</v>
      </c>
      <c r="P132" s="32" t="e">
        <v>#VALUE!</v>
      </c>
      <c r="S132" s="13" t="s">
        <v>32</v>
      </c>
      <c r="T132" s="29">
        <f>IF(Tableau13452729313335374951944325[[#This Row],[0,5% du dép]]&lt;5000,5000,IF(Tableau13452729313335374951944325[[#This Row],[0,5% du dép]]&gt;50000,50000,Tableau13452729313335374951944325[[#This Row],[0,5% du dép]]))</f>
        <v>32187.72</v>
      </c>
      <c r="U132" s="13">
        <f>ABS(Tableau13452729313335374951944325[[#This Row],[MONTANT DEPASSEMENT]]*0.005)</f>
        <v>32187.72</v>
      </c>
    </row>
    <row r="133" spans="1:25" x14ac:dyDescent="0.25">
      <c r="A133" s="47"/>
      <c r="B133" s="48">
        <v>800</v>
      </c>
      <c r="C133" s="48" t="s">
        <v>444</v>
      </c>
      <c r="D133" s="48" t="s">
        <v>73</v>
      </c>
      <c r="E133" s="48" t="s">
        <v>74</v>
      </c>
      <c r="F133" s="48" t="s">
        <v>330</v>
      </c>
      <c r="G133" s="48" t="s">
        <v>592</v>
      </c>
      <c r="H133" s="48" t="s">
        <v>31</v>
      </c>
      <c r="I133" s="48"/>
      <c r="J133" s="42"/>
      <c r="K133" s="43"/>
      <c r="L133" s="44"/>
      <c r="M133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33" s="29">
        <f>Tableau13452729313335374951944325[[#This Row],[MONTANT OPERATION]]+Tableau13452729313335374951944325[[#This Row],[POS  FUSIONNEE CPTE AVANT OP]]</f>
        <v>0</v>
      </c>
      <c r="O133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33" s="32" t="e">
        <f>Tableau13452729313335374951944325[[#This Row],[DEPASSEMENT TOTAL SUR AUTO
]]/-Tableau13452729313335374951944325[[#This Row],[MONTANT AUTO]]</f>
        <v>#VALUE!</v>
      </c>
      <c r="T133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33" s="13">
        <f>ABS(Tableau13452729313335374951944325[[#This Row],[MONTANT DEPASSEMENT]]*0.005)</f>
        <v>0</v>
      </c>
    </row>
    <row r="134" spans="1:25" x14ac:dyDescent="0.25">
      <c r="A134" s="47"/>
      <c r="B134" s="48">
        <v>806</v>
      </c>
      <c r="C134" s="48" t="s">
        <v>492</v>
      </c>
      <c r="D134" s="48" t="s">
        <v>150</v>
      </c>
      <c r="E134" s="48" t="s">
        <v>151</v>
      </c>
      <c r="F134" s="48" t="s">
        <v>152</v>
      </c>
      <c r="G134" s="48" t="s">
        <v>493</v>
      </c>
      <c r="H134" s="48" t="s">
        <v>31</v>
      </c>
      <c r="I134" s="48"/>
      <c r="J134" s="23"/>
      <c r="M134" s="29">
        <v>3225776</v>
      </c>
      <c r="N134" s="29">
        <v>-103225776</v>
      </c>
      <c r="O134" s="29">
        <v>3225776</v>
      </c>
      <c r="P134" s="32">
        <v>3.2257760000000003E-2</v>
      </c>
      <c r="S134" s="13" t="s">
        <v>29</v>
      </c>
      <c r="T134" s="29">
        <f>IF(Tableau13452729313335374951944325[[#This Row],[0,5% du dép]]&lt;5000,5000,IF(Tableau13452729313335374951944325[[#This Row],[0,5% du dép]]&gt;50000,50000,Tableau13452729313335374951944325[[#This Row],[0,5% du dép]]))</f>
        <v>16128.880000000001</v>
      </c>
      <c r="U134" s="13">
        <f>ABS(Tableau13452729313335374951944325[[#This Row],[MONTANT DEPASSEMENT]]*0.005)</f>
        <v>16128.880000000001</v>
      </c>
    </row>
    <row r="135" spans="1:25" x14ac:dyDescent="0.25">
      <c r="A135" s="47"/>
      <c r="B135" s="48">
        <v>715</v>
      </c>
      <c r="C135" s="48" t="s">
        <v>439</v>
      </c>
      <c r="D135" s="48" t="s">
        <v>63</v>
      </c>
      <c r="E135" s="48" t="s">
        <v>64</v>
      </c>
      <c r="F135" s="48" t="s">
        <v>266</v>
      </c>
      <c r="G135" s="48" t="s">
        <v>553</v>
      </c>
      <c r="H135" s="48" t="s">
        <v>31</v>
      </c>
      <c r="I135" s="48"/>
      <c r="J135" s="42"/>
      <c r="K135" s="43"/>
      <c r="L135" s="44"/>
      <c r="M135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35" s="29">
        <f>Tableau13452729313335374951944325[[#This Row],[MONTANT OPERATION]]+Tableau13452729313335374951944325[[#This Row],[POS  FUSIONNEE CPTE AVANT OP]]</f>
        <v>0</v>
      </c>
      <c r="O135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35" s="32" t="e">
        <f>Tableau13452729313335374951944325[[#This Row],[DEPASSEMENT TOTAL SUR AUTO
]]/-Tableau13452729313335374951944325[[#This Row],[MONTANT AUTO]]</f>
        <v>#VALUE!</v>
      </c>
      <c r="T135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35" s="13">
        <f>ABS(Tableau13452729313335374951944325[[#This Row],[MONTANT DEPASSEMENT]]*0.005)</f>
        <v>0</v>
      </c>
    </row>
    <row r="136" spans="1:25" x14ac:dyDescent="0.25">
      <c r="A136" s="47"/>
      <c r="B136" s="48">
        <v>800</v>
      </c>
      <c r="C136" s="48" t="s">
        <v>444</v>
      </c>
      <c r="D136" s="48" t="s">
        <v>320</v>
      </c>
      <c r="E136" s="48" t="s">
        <v>321</v>
      </c>
      <c r="F136" s="48" t="s">
        <v>259</v>
      </c>
      <c r="G136" s="48" t="s">
        <v>464</v>
      </c>
      <c r="H136" s="48" t="s">
        <v>31</v>
      </c>
      <c r="I136" s="48"/>
      <c r="J136" s="23"/>
      <c r="M136" s="29">
        <v>19952581</v>
      </c>
      <c r="N136" s="29">
        <v>-75532663</v>
      </c>
      <c r="O136" s="29" t="s">
        <v>78</v>
      </c>
      <c r="P136" s="32" t="e">
        <v>#VALUE!</v>
      </c>
      <c r="S136" s="13" t="s">
        <v>101</v>
      </c>
      <c r="T136" s="29">
        <f>IF(Tableau13452729313335374951944325[[#This Row],[0,5% du dép]]&lt;5000,5000,IF(Tableau13452729313335374951944325[[#This Row],[0,5% du dép]]&gt;50000,50000,Tableau13452729313335374951944325[[#This Row],[0,5% du dép]]))</f>
        <v>50000</v>
      </c>
      <c r="U136" s="13">
        <f>ABS(Tableau13452729313335374951944325[[#This Row],[MONTANT DEPASSEMENT]]*0.005)</f>
        <v>99762.904999999999</v>
      </c>
    </row>
    <row r="137" spans="1:25" x14ac:dyDescent="0.25">
      <c r="A137" s="47"/>
      <c r="B137" s="48">
        <v>815</v>
      </c>
      <c r="C137" s="48" t="s">
        <v>632</v>
      </c>
      <c r="D137" s="48" t="s">
        <v>177</v>
      </c>
      <c r="E137" s="48" t="s">
        <v>383</v>
      </c>
      <c r="F137" s="48" t="s">
        <v>198</v>
      </c>
      <c r="G137" s="48" t="s">
        <v>633</v>
      </c>
      <c r="H137" s="48" t="s">
        <v>47</v>
      </c>
      <c r="I137" s="48"/>
      <c r="J137" s="42"/>
      <c r="K137" s="43"/>
      <c r="L137" s="44"/>
      <c r="M137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37" s="29">
        <f>Tableau13452729313335374951944325[[#This Row],[MONTANT OPERATION]]+Tableau13452729313335374951944325[[#This Row],[POS  FUSIONNEE CPTE AVANT OP]]</f>
        <v>0</v>
      </c>
      <c r="O137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37" s="32" t="e">
        <f>Tableau13452729313335374951944325[[#This Row],[DEPASSEMENT TOTAL SUR AUTO
]]/-Tableau13452729313335374951944325[[#This Row],[MONTANT AUTO]]</f>
        <v>#VALUE!</v>
      </c>
      <c r="T137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37" s="13">
        <f>ABS(Tableau13452729313335374951944325[[#This Row],[MONTANT DEPASSEMENT]]*0.005)</f>
        <v>0</v>
      </c>
    </row>
    <row r="138" spans="1:25" x14ac:dyDescent="0.25">
      <c r="A138" s="47"/>
      <c r="B138" s="48">
        <v>815</v>
      </c>
      <c r="C138" s="48" t="s">
        <v>632</v>
      </c>
      <c r="D138" s="48" t="s">
        <v>177</v>
      </c>
      <c r="E138" s="48" t="s">
        <v>418</v>
      </c>
      <c r="F138" s="48" t="s">
        <v>259</v>
      </c>
      <c r="G138" s="48" t="s">
        <v>633</v>
      </c>
      <c r="H138" s="48" t="s">
        <v>47</v>
      </c>
      <c r="I138" s="48"/>
      <c r="J138" s="42"/>
      <c r="K138" s="43"/>
      <c r="L138" s="44"/>
      <c r="M138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38" s="29">
        <f>Tableau13452729313335374951944325[[#This Row],[MONTANT OPERATION]]+Tableau13452729313335374951944325[[#This Row],[POS  FUSIONNEE CPTE AVANT OP]]</f>
        <v>0</v>
      </c>
      <c r="O138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38" s="32" t="e">
        <f>Tableau13452729313335374951944325[[#This Row],[DEPASSEMENT TOTAL SUR AUTO
]]/-Tableau13452729313335374951944325[[#This Row],[MONTANT AUTO]]</f>
        <v>#VALUE!</v>
      </c>
      <c r="T138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38" s="13">
        <f>ABS(Tableau13452729313335374951944325[[#This Row],[MONTANT DEPASSEMENT]]*0.005)</f>
        <v>0</v>
      </c>
    </row>
    <row r="139" spans="1:25" x14ac:dyDescent="0.25">
      <c r="A139" s="47"/>
      <c r="B139" s="48">
        <v>716</v>
      </c>
      <c r="C139" s="48" t="s">
        <v>563</v>
      </c>
      <c r="D139" s="48" t="s">
        <v>153</v>
      </c>
      <c r="E139" s="48" t="s">
        <v>154</v>
      </c>
      <c r="F139" s="48" t="s">
        <v>191</v>
      </c>
      <c r="G139" s="48" t="s">
        <v>564</v>
      </c>
      <c r="H139" s="48" t="s">
        <v>31</v>
      </c>
      <c r="I139" s="48"/>
      <c r="J139" s="42"/>
      <c r="K139" s="43"/>
      <c r="L139" s="44"/>
      <c r="M139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39" s="29">
        <f>Tableau13452729313335374951944325[[#This Row],[MONTANT OPERATION]]+Tableau13452729313335374951944325[[#This Row],[POS  FUSIONNEE CPTE AVANT OP]]</f>
        <v>0</v>
      </c>
      <c r="O139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39" s="32" t="e">
        <f>Tableau13452729313335374951944325[[#This Row],[DEPASSEMENT TOTAL SUR AUTO
]]/-Tableau13452729313335374951944325[[#This Row],[MONTANT AUTO]]</f>
        <v>#VALUE!</v>
      </c>
      <c r="T139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39" s="13">
        <f>ABS(Tableau13452729313335374951944325[[#This Row],[MONTANT DEPASSEMENT]]*0.005)</f>
        <v>0</v>
      </c>
    </row>
    <row r="140" spans="1:25" x14ac:dyDescent="0.25">
      <c r="A140" s="47"/>
      <c r="B140" s="48">
        <v>714</v>
      </c>
      <c r="C140" s="48" t="s">
        <v>435</v>
      </c>
      <c r="D140" s="48" t="s">
        <v>114</v>
      </c>
      <c r="E140" s="48" t="s">
        <v>115</v>
      </c>
      <c r="F140" s="48" t="s">
        <v>26</v>
      </c>
      <c r="G140" s="48" t="s">
        <v>547</v>
      </c>
      <c r="H140" s="48" t="s">
        <v>27</v>
      </c>
      <c r="I140" s="48"/>
      <c r="J140" s="42"/>
      <c r="K140" s="43"/>
      <c r="L140" s="44"/>
      <c r="M140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40" s="29">
        <f>Tableau13452729313335374951944325[[#This Row],[MONTANT OPERATION]]+Tableau13452729313335374951944325[[#This Row],[POS  FUSIONNEE CPTE AVANT OP]]</f>
        <v>0</v>
      </c>
      <c r="O140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40" s="32" t="e">
        <f>Tableau13452729313335374951944325[[#This Row],[DEPASSEMENT TOTAL SUR AUTO
]]/-Tableau13452729313335374951944325[[#This Row],[MONTANT AUTO]]</f>
        <v>#VALUE!</v>
      </c>
      <c r="T140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40" s="13">
        <f>ABS(Tableau13452729313335374951944325[[#This Row],[MONTANT DEPASSEMENT]]*0.005)</f>
        <v>0</v>
      </c>
    </row>
    <row r="141" spans="1:25" x14ac:dyDescent="0.25">
      <c r="A141" s="47"/>
      <c r="B141" s="48">
        <v>712</v>
      </c>
      <c r="C141" s="48" t="s">
        <v>431</v>
      </c>
      <c r="D141" s="48" t="s">
        <v>79</v>
      </c>
      <c r="E141" s="48" t="s">
        <v>80</v>
      </c>
      <c r="F141" s="48" t="s">
        <v>81</v>
      </c>
      <c r="G141" s="48" t="s">
        <v>528</v>
      </c>
      <c r="H141" s="48" t="s">
        <v>31</v>
      </c>
      <c r="I141" s="48"/>
      <c r="J141" s="42"/>
      <c r="K141" s="43"/>
      <c r="L141" s="44"/>
      <c r="M141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41" s="29">
        <f>Tableau13452729313335374951944325[[#This Row],[MONTANT OPERATION]]+Tableau13452729313335374951944325[[#This Row],[POS  FUSIONNEE CPTE AVANT OP]]</f>
        <v>0</v>
      </c>
      <c r="O141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41" s="32" t="e">
        <f>Tableau13452729313335374951944325[[#This Row],[DEPASSEMENT TOTAL SUR AUTO
]]/-Tableau13452729313335374951944325[[#This Row],[MONTANT AUTO]]</f>
        <v>#VALUE!</v>
      </c>
      <c r="T141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41" s="13">
        <f>ABS(Tableau13452729313335374951944325[[#This Row],[MONTANT DEPASSEMENT]]*0.005)</f>
        <v>0</v>
      </c>
    </row>
    <row r="142" spans="1:25" x14ac:dyDescent="0.25">
      <c r="A142" s="47"/>
      <c r="B142" s="48">
        <v>806</v>
      </c>
      <c r="C142" s="48" t="s">
        <v>492</v>
      </c>
      <c r="D142" s="48" t="s">
        <v>334</v>
      </c>
      <c r="E142" s="48" t="s">
        <v>335</v>
      </c>
      <c r="F142" s="48" t="s">
        <v>116</v>
      </c>
      <c r="G142" s="48" t="s">
        <v>607</v>
      </c>
      <c r="H142" s="48" t="s">
        <v>31</v>
      </c>
      <c r="I142" s="48"/>
      <c r="J142" s="42"/>
      <c r="K142" s="43"/>
      <c r="L142" s="44"/>
      <c r="M142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42" s="29">
        <f>Tableau13452729313335374951944325[[#This Row],[MONTANT OPERATION]]+Tableau13452729313335374951944325[[#This Row],[POS  FUSIONNEE CPTE AVANT OP]]</f>
        <v>0</v>
      </c>
      <c r="O142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42" s="32" t="e">
        <f>Tableau13452729313335374951944325[[#This Row],[DEPASSEMENT TOTAL SUR AUTO
]]/-Tableau13452729313335374951944325[[#This Row],[MONTANT AUTO]]</f>
        <v>#VALUE!</v>
      </c>
      <c r="T142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42" s="13">
        <f>ABS(Tableau13452729313335374951944325[[#This Row],[MONTANT DEPASSEMENT]]*0.005)</f>
        <v>0</v>
      </c>
    </row>
    <row r="143" spans="1:25" x14ac:dyDescent="0.25">
      <c r="A143" s="47"/>
      <c r="B143" s="48">
        <v>803</v>
      </c>
      <c r="C143" s="48" t="s">
        <v>447</v>
      </c>
      <c r="D143" s="48" t="s">
        <v>402</v>
      </c>
      <c r="E143" s="48" t="s">
        <v>403</v>
      </c>
      <c r="F143" s="48" t="s">
        <v>304</v>
      </c>
      <c r="G143" s="48" t="s">
        <v>602</v>
      </c>
      <c r="H143" s="48" t="s">
        <v>31</v>
      </c>
      <c r="I143" s="48"/>
      <c r="J143" s="42"/>
      <c r="K143" s="43"/>
      <c r="L143" s="44"/>
      <c r="M143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43" s="29">
        <f>Tableau13452729313335374951944325[[#This Row],[MONTANT OPERATION]]+Tableau13452729313335374951944325[[#This Row],[POS  FUSIONNEE CPTE AVANT OP]]</f>
        <v>0</v>
      </c>
      <c r="O143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43" s="32" t="e">
        <f>Tableau13452729313335374951944325[[#This Row],[DEPASSEMENT TOTAL SUR AUTO
]]/-Tableau13452729313335374951944325[[#This Row],[MONTANT AUTO]]</f>
        <v>#VALUE!</v>
      </c>
      <c r="T143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43" s="13">
        <f>ABS(Tableau13452729313335374951944325[[#This Row],[MONTANT DEPASSEMENT]]*0.005)</f>
        <v>0</v>
      </c>
    </row>
    <row r="144" spans="1:25" x14ac:dyDescent="0.25">
      <c r="A144" s="47"/>
      <c r="B144" s="48">
        <v>711</v>
      </c>
      <c r="C144" s="48" t="s">
        <v>427</v>
      </c>
      <c r="D144" s="48" t="s">
        <v>84</v>
      </c>
      <c r="E144" s="48" t="s">
        <v>85</v>
      </c>
      <c r="F144" s="48" t="s">
        <v>86</v>
      </c>
      <c r="G144" s="48" t="s">
        <v>428</v>
      </c>
      <c r="H144" s="48" t="s">
        <v>31</v>
      </c>
      <c r="I144" s="48"/>
      <c r="J144" s="14"/>
      <c r="M144" s="17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44" s="17">
        <f>Tableau13452729313335374951944325[[#This Row],[MONTANT OPERATION]]+Tableau13452729313335374951944325[[#This Row],[POS  FUSIONNEE CPTE AVANT OP]]</f>
        <v>0</v>
      </c>
      <c r="O144" s="17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44" s="20" t="e">
        <f>Tableau13452729313335374951944325[[#This Row],[DEPASSEMENT TOTAL SUR AUTO
]]/-Tableau13452729313335374951944325[[#This Row],[MONTANT AUTO]]</f>
        <v>#VALUE!</v>
      </c>
      <c r="Q144" s="9"/>
      <c r="R144" s="10"/>
      <c r="S144" s="10" t="s">
        <v>32</v>
      </c>
      <c r="T144" s="17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44" s="10">
        <f>ABS(Tableau13452729313335374951944325[[#This Row],[MONTANT DEPASSEMENT]]*0.005)</f>
        <v>0</v>
      </c>
      <c r="V144" s="10" t="s">
        <v>30</v>
      </c>
      <c r="W144" s="10"/>
      <c r="X144" s="10"/>
      <c r="Y144" s="10"/>
    </row>
    <row r="145" spans="1:25" x14ac:dyDescent="0.25">
      <c r="A145" s="47"/>
      <c r="B145" s="48">
        <v>803</v>
      </c>
      <c r="C145" s="48" t="s">
        <v>447</v>
      </c>
      <c r="D145" s="48" t="s">
        <v>407</v>
      </c>
      <c r="E145" s="48" t="s">
        <v>408</v>
      </c>
      <c r="F145" s="48" t="s">
        <v>279</v>
      </c>
      <c r="G145" s="48" t="s">
        <v>578</v>
      </c>
      <c r="H145" s="48" t="s">
        <v>31</v>
      </c>
      <c r="I145" s="48"/>
      <c r="J145" s="42"/>
      <c r="K145" s="43"/>
      <c r="L145" s="44"/>
      <c r="M145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45" s="29">
        <f>Tableau13452729313335374951944325[[#This Row],[MONTANT OPERATION]]+Tableau13452729313335374951944325[[#This Row],[POS  FUSIONNEE CPTE AVANT OP]]</f>
        <v>0</v>
      </c>
      <c r="O145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45" s="32" t="e">
        <f>Tableau13452729313335374951944325[[#This Row],[DEPASSEMENT TOTAL SUR AUTO
]]/-Tableau13452729313335374951944325[[#This Row],[MONTANT AUTO]]</f>
        <v>#VALUE!</v>
      </c>
      <c r="T145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45" s="13">
        <f>ABS(Tableau13452729313335374951944325[[#This Row],[MONTANT DEPASSEMENT]]*0.005)</f>
        <v>0</v>
      </c>
    </row>
    <row r="146" spans="1:25" x14ac:dyDescent="0.25">
      <c r="A146" s="47"/>
      <c r="B146" s="48">
        <v>718</v>
      </c>
      <c r="C146" s="48" t="s">
        <v>462</v>
      </c>
      <c r="D146" s="48" t="s">
        <v>572</v>
      </c>
      <c r="E146" s="48" t="s">
        <v>573</v>
      </c>
      <c r="F146" s="48" t="s">
        <v>231</v>
      </c>
      <c r="G146" s="48" t="s">
        <v>574</v>
      </c>
      <c r="H146" s="48" t="s">
        <v>31</v>
      </c>
      <c r="I146" s="48"/>
      <c r="J146" s="42"/>
      <c r="K146" s="43"/>
      <c r="L146" s="44"/>
      <c r="M146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46" s="29">
        <f>Tableau13452729313335374951944325[[#This Row],[MONTANT OPERATION]]+Tableau13452729313335374951944325[[#This Row],[POS  FUSIONNEE CPTE AVANT OP]]</f>
        <v>0</v>
      </c>
      <c r="O146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46" s="32" t="e">
        <f>Tableau13452729313335374951944325[[#This Row],[DEPASSEMENT TOTAL SUR AUTO
]]/-Tableau13452729313335374951944325[[#This Row],[MONTANT AUTO]]</f>
        <v>#VALUE!</v>
      </c>
      <c r="T146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46" s="13">
        <f>ABS(Tableau13452729313335374951944325[[#This Row],[MONTANT DEPASSEMENT]]*0.005)</f>
        <v>0</v>
      </c>
    </row>
    <row r="147" spans="1:25" x14ac:dyDescent="0.25">
      <c r="A147" s="47"/>
      <c r="B147" s="48">
        <v>713</v>
      </c>
      <c r="C147" s="48" t="s">
        <v>433</v>
      </c>
      <c r="D147" s="48" t="s">
        <v>362</v>
      </c>
      <c r="E147" s="48" t="s">
        <v>363</v>
      </c>
      <c r="F147" s="48" t="s">
        <v>317</v>
      </c>
      <c r="G147" s="48" t="s">
        <v>434</v>
      </c>
      <c r="H147" s="48" t="s">
        <v>27</v>
      </c>
      <c r="I147" s="48"/>
      <c r="J147" s="14"/>
      <c r="M147" s="17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47" s="17">
        <f>Tableau13452729313335374951944325[[#This Row],[MONTANT OPERATION]]+Tableau13452729313335374951944325[[#This Row],[POS  FUSIONNEE CPTE AVANT OP]]</f>
        <v>0</v>
      </c>
      <c r="O147" s="17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47" s="20" t="e">
        <f>Tableau13452729313335374951944325[[#This Row],[DEPASSEMENT TOTAL SUR AUTO
]]/-Tableau13452729313335374951944325[[#This Row],[MONTANT AUTO]]</f>
        <v>#VALUE!</v>
      </c>
      <c r="Q147" s="9"/>
      <c r="R147" s="10"/>
      <c r="S147" s="10" t="s">
        <v>32</v>
      </c>
      <c r="T147" s="17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47" s="10">
        <f>ABS(Tableau13452729313335374951944325[[#This Row],[MONTANT DEPASSEMENT]]*0.005)</f>
        <v>0</v>
      </c>
      <c r="V147" s="10" t="s">
        <v>30</v>
      </c>
      <c r="W147" s="10"/>
      <c r="X147" s="10"/>
      <c r="Y147" s="10"/>
    </row>
    <row r="148" spans="1:25" x14ac:dyDescent="0.25">
      <c r="A148" s="47"/>
      <c r="B148" s="48">
        <v>705</v>
      </c>
      <c r="C148" s="48" t="s">
        <v>429</v>
      </c>
      <c r="D148" s="48" t="s">
        <v>161</v>
      </c>
      <c r="E148" s="48" t="s">
        <v>255</v>
      </c>
      <c r="F148" s="48" t="s">
        <v>256</v>
      </c>
      <c r="G148" s="48" t="s">
        <v>434</v>
      </c>
      <c r="H148" s="48" t="s">
        <v>162</v>
      </c>
      <c r="I148" s="48"/>
      <c r="J148" s="23"/>
      <c r="M148" s="29">
        <v>1696216</v>
      </c>
      <c r="N148" s="29">
        <v>-41696216</v>
      </c>
      <c r="O148" s="29">
        <v>1696216</v>
      </c>
      <c r="P148" s="32">
        <v>4.2405400000000003E-2</v>
      </c>
      <c r="S148" s="13" t="s">
        <v>29</v>
      </c>
      <c r="T148" s="29">
        <f>IF(Tableau13452729313335374951944325[[#This Row],[0,5% du dép]]&lt;5000,5000,IF(Tableau13452729313335374951944325[[#This Row],[0,5% du dép]]&gt;50000,50000,Tableau13452729313335374951944325[[#This Row],[0,5% du dép]]))</f>
        <v>8481.08</v>
      </c>
      <c r="U148" s="13">
        <f>ABS(Tableau13452729313335374951944325[[#This Row],[MONTANT DEPASSEMENT]]*0.005)</f>
        <v>8481.08</v>
      </c>
    </row>
    <row r="149" spans="1:25" x14ac:dyDescent="0.25">
      <c r="A149" s="47"/>
      <c r="B149" s="48">
        <v>815</v>
      </c>
      <c r="C149" s="48" t="s">
        <v>632</v>
      </c>
      <c r="D149" s="48" t="s">
        <v>636</v>
      </c>
      <c r="E149" s="48" t="s">
        <v>637</v>
      </c>
      <c r="F149" s="48" t="s">
        <v>196</v>
      </c>
      <c r="G149" s="48" t="s">
        <v>638</v>
      </c>
      <c r="H149" s="48" t="s">
        <v>47</v>
      </c>
      <c r="I149" s="48"/>
      <c r="J149" s="42"/>
      <c r="K149" s="43"/>
      <c r="L149" s="44"/>
      <c r="M149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49" s="29">
        <f>Tableau13452729313335374951944325[[#This Row],[MONTANT OPERATION]]+Tableau13452729313335374951944325[[#This Row],[POS  FUSIONNEE CPTE AVANT OP]]</f>
        <v>0</v>
      </c>
      <c r="O149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49" s="32" t="e">
        <f>Tableau13452729313335374951944325[[#This Row],[DEPASSEMENT TOTAL SUR AUTO
]]/-Tableau13452729313335374951944325[[#This Row],[MONTANT AUTO]]</f>
        <v>#VALUE!</v>
      </c>
      <c r="T149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49" s="13">
        <f>ABS(Tableau13452729313335374951944325[[#This Row],[MONTANT DEPASSEMENT]]*0.005)</f>
        <v>0</v>
      </c>
    </row>
    <row r="150" spans="1:25" x14ac:dyDescent="0.25">
      <c r="A150" s="47"/>
      <c r="B150" s="48">
        <v>803</v>
      </c>
      <c r="C150" s="48" t="s">
        <v>447</v>
      </c>
      <c r="D150" s="48" t="s">
        <v>33</v>
      </c>
      <c r="E150" s="48" t="s">
        <v>34</v>
      </c>
      <c r="F150" s="48" t="s">
        <v>230</v>
      </c>
      <c r="G150" s="48" t="s">
        <v>466</v>
      </c>
      <c r="H150" s="48" t="s">
        <v>31</v>
      </c>
      <c r="I150" s="48"/>
      <c r="J150" s="23"/>
      <c r="M150" s="29">
        <v>22508470</v>
      </c>
      <c r="N150" s="29">
        <v>-120549603</v>
      </c>
      <c r="O150" s="29" t="s">
        <v>78</v>
      </c>
      <c r="P150" s="32" t="e">
        <v>#VALUE!</v>
      </c>
      <c r="S150" s="13" t="s">
        <v>101</v>
      </c>
      <c r="T150" s="29">
        <f>IF(Tableau13452729313335374951944325[[#This Row],[0,5% du dép]]&lt;5000,5000,IF(Tableau13452729313335374951944325[[#This Row],[0,5% du dép]]&gt;50000,50000,Tableau13452729313335374951944325[[#This Row],[0,5% du dép]]))</f>
        <v>50000</v>
      </c>
      <c r="U150" s="13">
        <f>ABS(Tableau13452729313335374951944325[[#This Row],[MONTANT DEPASSEMENT]]*0.005)</f>
        <v>112542.35</v>
      </c>
    </row>
    <row r="151" spans="1:25" x14ac:dyDescent="0.25">
      <c r="A151" s="47"/>
      <c r="B151" s="48">
        <v>807</v>
      </c>
      <c r="C151" s="48" t="s">
        <v>442</v>
      </c>
      <c r="D151" s="48" t="s">
        <v>253</v>
      </c>
      <c r="E151" s="48" t="s">
        <v>254</v>
      </c>
      <c r="F151" s="48" t="s">
        <v>37</v>
      </c>
      <c r="G151" s="48" t="s">
        <v>610</v>
      </c>
      <c r="H151" s="48" t="s">
        <v>31</v>
      </c>
      <c r="I151" s="48"/>
      <c r="J151" s="42"/>
      <c r="K151" s="43"/>
      <c r="L151" s="44"/>
      <c r="M151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51" s="29">
        <f>Tableau13452729313335374951944325[[#This Row],[MONTANT OPERATION]]+Tableau13452729313335374951944325[[#This Row],[POS  FUSIONNEE CPTE AVANT OP]]</f>
        <v>0</v>
      </c>
      <c r="O151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51" s="32" t="e">
        <f>Tableau13452729313335374951944325[[#This Row],[DEPASSEMENT TOTAL SUR AUTO
]]/-Tableau13452729313335374951944325[[#This Row],[MONTANT AUTO]]</f>
        <v>#VALUE!</v>
      </c>
      <c r="T151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51" s="13">
        <f>ABS(Tableau13452729313335374951944325[[#This Row],[MONTANT DEPASSEMENT]]*0.005)</f>
        <v>0</v>
      </c>
    </row>
    <row r="152" spans="1:25" x14ac:dyDescent="0.25">
      <c r="A152" s="47"/>
      <c r="B152" s="48">
        <v>716</v>
      </c>
      <c r="C152" s="48" t="s">
        <v>563</v>
      </c>
      <c r="D152" s="48" t="s">
        <v>109</v>
      </c>
      <c r="E152" s="48" t="s">
        <v>208</v>
      </c>
      <c r="F152" s="48" t="s">
        <v>205</v>
      </c>
      <c r="G152" s="48" t="s">
        <v>565</v>
      </c>
      <c r="H152" s="48" t="s">
        <v>60</v>
      </c>
      <c r="I152" s="48"/>
      <c r="J152" s="42"/>
      <c r="K152" s="43"/>
      <c r="L152" s="44"/>
      <c r="M152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52" s="29">
        <f>Tableau13452729313335374951944325[[#This Row],[MONTANT OPERATION]]+Tableau13452729313335374951944325[[#This Row],[POS  FUSIONNEE CPTE AVANT OP]]</f>
        <v>0</v>
      </c>
      <c r="O152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52" s="32" t="e">
        <f>Tableau13452729313335374951944325[[#This Row],[DEPASSEMENT TOTAL SUR AUTO
]]/-Tableau13452729313335374951944325[[#This Row],[MONTANT AUTO]]</f>
        <v>#VALUE!</v>
      </c>
      <c r="T152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52" s="13">
        <f>ABS(Tableau13452729313335374951944325[[#This Row],[MONTANT DEPASSEMENT]]*0.005)</f>
        <v>0</v>
      </c>
    </row>
    <row r="153" spans="1:25" x14ac:dyDescent="0.25">
      <c r="A153" s="47"/>
      <c r="B153" s="48">
        <v>714</v>
      </c>
      <c r="C153" s="48" t="s">
        <v>435</v>
      </c>
      <c r="D153" s="48" t="s">
        <v>157</v>
      </c>
      <c r="E153" s="48" t="s">
        <v>181</v>
      </c>
      <c r="F153" s="48" t="s">
        <v>158</v>
      </c>
      <c r="G153" s="48" t="s">
        <v>436</v>
      </c>
      <c r="H153" s="48" t="s">
        <v>27</v>
      </c>
      <c r="I153" s="48"/>
      <c r="J153" s="14"/>
      <c r="M153" s="17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53" s="17">
        <f>Tableau13452729313335374951944325[[#This Row],[MONTANT OPERATION]]+Tableau13452729313335374951944325[[#This Row],[POS  FUSIONNEE CPTE AVANT OP]]</f>
        <v>0</v>
      </c>
      <c r="O153" s="17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53" s="20" t="e">
        <f>Tableau13452729313335374951944325[[#This Row],[DEPASSEMENT TOTAL SUR AUTO
]]/-Tableau13452729313335374951944325[[#This Row],[MONTANT AUTO]]</f>
        <v>#VALUE!</v>
      </c>
      <c r="Q153" s="9"/>
      <c r="R153" s="10"/>
      <c r="S153" s="10" t="s">
        <v>32</v>
      </c>
      <c r="T153" s="17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53" s="10">
        <f>ABS(Tableau13452729313335374951944325[[#This Row],[MONTANT DEPASSEMENT]]*0.005)</f>
        <v>0</v>
      </c>
      <c r="V153" s="10" t="s">
        <v>30</v>
      </c>
      <c r="W153" s="10"/>
      <c r="X153" s="10"/>
      <c r="Y153" s="10"/>
    </row>
    <row r="154" spans="1:25" x14ac:dyDescent="0.25">
      <c r="A154" s="47"/>
      <c r="B154" s="48">
        <v>714</v>
      </c>
      <c r="C154" s="48" t="s">
        <v>435</v>
      </c>
      <c r="D154" s="48" t="s">
        <v>549</v>
      </c>
      <c r="E154" s="48" t="s">
        <v>550</v>
      </c>
      <c r="F154" s="48" t="s">
        <v>203</v>
      </c>
      <c r="G154" s="48" t="s">
        <v>551</v>
      </c>
      <c r="H154" s="48" t="s">
        <v>27</v>
      </c>
      <c r="I154" s="48"/>
      <c r="J154" s="42"/>
      <c r="K154" s="43"/>
      <c r="L154" s="44"/>
      <c r="M154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54" s="29">
        <f>Tableau13452729313335374951944325[[#This Row],[MONTANT OPERATION]]+Tableau13452729313335374951944325[[#This Row],[POS  FUSIONNEE CPTE AVANT OP]]</f>
        <v>0</v>
      </c>
      <c r="O154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54" s="32" t="e">
        <f>Tableau13452729313335374951944325[[#This Row],[DEPASSEMENT TOTAL SUR AUTO
]]/-Tableau13452729313335374951944325[[#This Row],[MONTANT AUTO]]</f>
        <v>#VALUE!</v>
      </c>
      <c r="T154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54" s="13">
        <f>ABS(Tableau13452729313335374951944325[[#This Row],[MONTANT DEPASSEMENT]]*0.005)</f>
        <v>0</v>
      </c>
    </row>
    <row r="155" spans="1:25" x14ac:dyDescent="0.25">
      <c r="A155" s="47"/>
      <c r="B155" s="48">
        <v>714</v>
      </c>
      <c r="C155" s="48" t="s">
        <v>435</v>
      </c>
      <c r="D155" s="48" t="s">
        <v>344</v>
      </c>
      <c r="E155" s="48" t="s">
        <v>345</v>
      </c>
      <c r="F155" s="48" t="s">
        <v>268</v>
      </c>
      <c r="G155" s="48" t="s">
        <v>546</v>
      </c>
      <c r="H155" s="48" t="s">
        <v>27</v>
      </c>
      <c r="I155" s="48"/>
      <c r="J155" s="42"/>
      <c r="K155" s="43"/>
      <c r="L155" s="44"/>
      <c r="M155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55" s="29">
        <f>Tableau13452729313335374951944325[[#This Row],[MONTANT OPERATION]]+Tableau13452729313335374951944325[[#This Row],[POS  FUSIONNEE CPTE AVANT OP]]</f>
        <v>0</v>
      </c>
      <c r="O155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55" s="32" t="e">
        <f>Tableau13452729313335374951944325[[#This Row],[DEPASSEMENT TOTAL SUR AUTO
]]/-Tableau13452729313335374951944325[[#This Row],[MONTANT AUTO]]</f>
        <v>#VALUE!</v>
      </c>
      <c r="T155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55" s="13">
        <f>ABS(Tableau13452729313335374951944325[[#This Row],[MONTANT DEPASSEMENT]]*0.005)</f>
        <v>0</v>
      </c>
    </row>
    <row r="156" spans="1:25" x14ac:dyDescent="0.25">
      <c r="A156" s="47"/>
      <c r="B156" s="48">
        <v>701</v>
      </c>
      <c r="C156" s="48" t="s">
        <v>652</v>
      </c>
      <c r="D156" s="48" t="s">
        <v>224</v>
      </c>
      <c r="E156" s="48" t="s">
        <v>225</v>
      </c>
      <c r="F156" s="48" t="s">
        <v>220</v>
      </c>
      <c r="G156" s="48" t="s">
        <v>653</v>
      </c>
      <c r="H156" s="48" t="s">
        <v>47</v>
      </c>
      <c r="I156" s="48"/>
      <c r="J156" s="42"/>
      <c r="K156" s="43"/>
      <c r="L156" s="44"/>
      <c r="M156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56" s="29">
        <f>Tableau13452729313335374951944325[[#This Row],[MONTANT OPERATION]]+Tableau13452729313335374951944325[[#This Row],[POS  FUSIONNEE CPTE AVANT OP]]</f>
        <v>0</v>
      </c>
      <c r="O156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56" s="32" t="e">
        <f>Tableau13452729313335374951944325[[#This Row],[DEPASSEMENT TOTAL SUR AUTO
]]/-Tableau13452729313335374951944325[[#This Row],[MONTANT AUTO]]</f>
        <v>#VALUE!</v>
      </c>
      <c r="T156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56" s="13">
        <f>ABS(Tableau13452729313335374951944325[[#This Row],[MONTANT DEPASSEMENT]]*0.005)</f>
        <v>0</v>
      </c>
    </row>
    <row r="157" spans="1:25" x14ac:dyDescent="0.25">
      <c r="A157" s="47"/>
      <c r="B157" s="48">
        <v>705</v>
      </c>
      <c r="C157" s="48" t="s">
        <v>429</v>
      </c>
      <c r="D157" s="48" t="s">
        <v>103</v>
      </c>
      <c r="E157" s="48" t="s">
        <v>104</v>
      </c>
      <c r="F157" s="48" t="s">
        <v>105</v>
      </c>
      <c r="G157" s="48" t="s">
        <v>480</v>
      </c>
      <c r="H157" s="48" t="s">
        <v>94</v>
      </c>
      <c r="I157" s="48"/>
      <c r="J157" s="23"/>
      <c r="M157" s="29">
        <v>16023986</v>
      </c>
      <c r="N157" s="29">
        <v>-430556608</v>
      </c>
      <c r="O157" s="29" t="s">
        <v>78</v>
      </c>
      <c r="P157" s="32" t="e">
        <v>#VALUE!</v>
      </c>
      <c r="S157" s="13" t="s">
        <v>101</v>
      </c>
      <c r="T157" s="29">
        <f>IF(Tableau13452729313335374951944325[[#This Row],[0,5% du dép]]&lt;5000,5000,IF(Tableau13452729313335374951944325[[#This Row],[0,5% du dép]]&gt;50000,50000,Tableau13452729313335374951944325[[#This Row],[0,5% du dép]]))</f>
        <v>50000</v>
      </c>
      <c r="U157" s="13">
        <f>ABS(Tableau13452729313335374951944325[[#This Row],[MONTANT DEPASSEMENT]]*0.005)</f>
        <v>80119.930000000008</v>
      </c>
    </row>
    <row r="158" spans="1:25" x14ac:dyDescent="0.25">
      <c r="A158" s="47"/>
      <c r="B158" s="48">
        <v>715</v>
      </c>
      <c r="C158" s="48" t="s">
        <v>439</v>
      </c>
      <c r="D158" s="48" t="s">
        <v>263</v>
      </c>
      <c r="E158" s="48" t="s">
        <v>264</v>
      </c>
      <c r="F158" s="48" t="s">
        <v>265</v>
      </c>
      <c r="G158" s="48" t="s">
        <v>512</v>
      </c>
      <c r="H158" s="48" t="s">
        <v>31</v>
      </c>
      <c r="I158" s="48"/>
      <c r="J158" s="42"/>
      <c r="K158" s="43"/>
      <c r="L158" s="44"/>
      <c r="M158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58" s="29">
        <f>Tableau13452729313335374951944325[[#This Row],[MONTANT OPERATION]]+Tableau13452729313335374951944325[[#This Row],[POS  FUSIONNEE CPTE AVANT OP]]</f>
        <v>0</v>
      </c>
      <c r="O158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58" s="32" t="e">
        <f>Tableau13452729313335374951944325[[#This Row],[DEPASSEMENT TOTAL SUR AUTO
]]/-Tableau13452729313335374951944325[[#This Row],[MONTANT AUTO]]</f>
        <v>#VALUE!</v>
      </c>
      <c r="T158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58" s="13">
        <f>ABS(Tableau13452729313335374951944325[[#This Row],[MONTANT DEPASSEMENT]]*0.005)</f>
        <v>0</v>
      </c>
    </row>
    <row r="159" spans="1:25" x14ac:dyDescent="0.25">
      <c r="A159" s="47"/>
      <c r="B159" s="48">
        <v>706</v>
      </c>
      <c r="C159" s="48" t="s">
        <v>494</v>
      </c>
      <c r="D159" s="48" t="s">
        <v>498</v>
      </c>
      <c r="E159" s="48" t="s">
        <v>499</v>
      </c>
      <c r="F159" s="48" t="s">
        <v>209</v>
      </c>
      <c r="G159" s="48" t="s">
        <v>500</v>
      </c>
      <c r="H159" s="48" t="s">
        <v>47</v>
      </c>
      <c r="I159" s="48"/>
      <c r="J159" s="23"/>
      <c r="M159" s="29">
        <v>202789</v>
      </c>
      <c r="N159" s="29">
        <v>-233159788</v>
      </c>
      <c r="O159" s="29" t="s">
        <v>78</v>
      </c>
      <c r="P159" s="32" t="e">
        <v>#VALUE!</v>
      </c>
      <c r="S159" s="13" t="s">
        <v>101</v>
      </c>
      <c r="T159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59" s="13">
        <f>ABS(Tableau13452729313335374951944325[[#This Row],[MONTANT DEPASSEMENT]]*0.005)</f>
        <v>1013.9450000000001</v>
      </c>
    </row>
    <row r="160" spans="1:25" x14ac:dyDescent="0.25">
      <c r="A160" s="47"/>
      <c r="B160" s="48">
        <v>711</v>
      </c>
      <c r="C160" s="48" t="s">
        <v>427</v>
      </c>
      <c r="D160" s="48" t="s">
        <v>295</v>
      </c>
      <c r="E160" s="48" t="s">
        <v>296</v>
      </c>
      <c r="F160" s="48" t="s">
        <v>297</v>
      </c>
      <c r="G160" s="48" t="s">
        <v>510</v>
      </c>
      <c r="H160" s="48" t="s">
        <v>27</v>
      </c>
      <c r="I160" s="48"/>
      <c r="J160" s="42"/>
      <c r="K160" s="43"/>
      <c r="L160" s="44"/>
      <c r="M160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60" s="29">
        <f>Tableau13452729313335374951944325[[#This Row],[MONTANT OPERATION]]+Tableau13452729313335374951944325[[#This Row],[POS  FUSIONNEE CPTE AVANT OP]]</f>
        <v>0</v>
      </c>
      <c r="O160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60" s="32" t="e">
        <f>Tableau13452729313335374951944325[[#This Row],[DEPASSEMENT TOTAL SUR AUTO
]]/-Tableau13452729313335374951944325[[#This Row],[MONTANT AUTO]]</f>
        <v>#VALUE!</v>
      </c>
      <c r="T160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60" s="13">
        <f>ABS(Tableau13452729313335374951944325[[#This Row],[MONTANT DEPASSEMENT]]*0.005)</f>
        <v>0</v>
      </c>
    </row>
    <row r="161" spans="1:21" x14ac:dyDescent="0.25">
      <c r="A161" s="47"/>
      <c r="B161" s="48">
        <v>803</v>
      </c>
      <c r="C161" s="48" t="s">
        <v>447</v>
      </c>
      <c r="D161" s="48" t="s">
        <v>274</v>
      </c>
      <c r="E161" s="48" t="s">
        <v>275</v>
      </c>
      <c r="F161" s="48" t="s">
        <v>276</v>
      </c>
      <c r="G161" s="48" t="s">
        <v>600</v>
      </c>
      <c r="H161" s="48" t="s">
        <v>31</v>
      </c>
      <c r="I161" s="48"/>
      <c r="J161" s="42"/>
      <c r="K161" s="43"/>
      <c r="L161" s="44"/>
      <c r="M161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61" s="29">
        <f>Tableau13452729313335374951944325[[#This Row],[MONTANT OPERATION]]+Tableau13452729313335374951944325[[#This Row],[POS  FUSIONNEE CPTE AVANT OP]]</f>
        <v>0</v>
      </c>
      <c r="O161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61" s="32" t="e">
        <f>Tableau13452729313335374951944325[[#This Row],[DEPASSEMENT TOTAL SUR AUTO
]]/-Tableau13452729313335374951944325[[#This Row],[MONTANT AUTO]]</f>
        <v>#VALUE!</v>
      </c>
      <c r="T161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61" s="13">
        <f>ABS(Tableau13452729313335374951944325[[#This Row],[MONTANT DEPASSEMENT]]*0.005)</f>
        <v>0</v>
      </c>
    </row>
    <row r="162" spans="1:21" x14ac:dyDescent="0.25">
      <c r="A162" s="47"/>
      <c r="B162" s="48">
        <v>705</v>
      </c>
      <c r="C162" s="48" t="s">
        <v>429</v>
      </c>
      <c r="D162" s="48" t="s">
        <v>159</v>
      </c>
      <c r="E162" s="48" t="s">
        <v>412</v>
      </c>
      <c r="F162" s="48" t="s">
        <v>49</v>
      </c>
      <c r="G162" s="48" t="s">
        <v>474</v>
      </c>
      <c r="H162" s="48" t="s">
        <v>47</v>
      </c>
      <c r="I162" s="48"/>
      <c r="J162" s="23"/>
      <c r="M162" s="29">
        <v>940836</v>
      </c>
      <c r="N162" s="29">
        <v>-409877564</v>
      </c>
      <c r="O162" s="29" t="s">
        <v>78</v>
      </c>
      <c r="P162" s="32" t="e">
        <v>#VALUE!</v>
      </c>
      <c r="S162" s="13" t="s">
        <v>101</v>
      </c>
      <c r="T162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62" s="13">
        <f>ABS(Tableau13452729313335374951944325[[#This Row],[MONTANT DEPASSEMENT]]*0.005)</f>
        <v>4704.18</v>
      </c>
    </row>
    <row r="163" spans="1:21" x14ac:dyDescent="0.25">
      <c r="A163" s="47"/>
      <c r="B163" s="48">
        <v>800</v>
      </c>
      <c r="C163" s="48" t="s">
        <v>444</v>
      </c>
      <c r="D163" s="48" t="s">
        <v>226</v>
      </c>
      <c r="E163" s="48" t="s">
        <v>227</v>
      </c>
      <c r="F163" s="48" t="s">
        <v>228</v>
      </c>
      <c r="G163" s="48" t="s">
        <v>558</v>
      </c>
      <c r="H163" s="48" t="s">
        <v>60</v>
      </c>
      <c r="I163" s="48"/>
      <c r="J163" s="42"/>
      <c r="K163" s="43"/>
      <c r="L163" s="44"/>
      <c r="M163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63" s="29">
        <f>Tableau13452729313335374951944325[[#This Row],[MONTANT OPERATION]]+Tableau13452729313335374951944325[[#This Row],[POS  FUSIONNEE CPTE AVANT OP]]</f>
        <v>0</v>
      </c>
      <c r="O163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63" s="32" t="e">
        <f>Tableau13452729313335374951944325[[#This Row],[DEPASSEMENT TOTAL SUR AUTO
]]/-Tableau13452729313335374951944325[[#This Row],[MONTANT AUTO]]</f>
        <v>#VALUE!</v>
      </c>
      <c r="T163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63" s="13">
        <f>ABS(Tableau13452729313335374951944325[[#This Row],[MONTANT DEPASSEMENT]]*0.005)</f>
        <v>0</v>
      </c>
    </row>
    <row r="164" spans="1:21" x14ac:dyDescent="0.25">
      <c r="A164" s="47"/>
      <c r="B164" s="48">
        <v>800</v>
      </c>
      <c r="C164" s="48" t="s">
        <v>444</v>
      </c>
      <c r="D164" s="48" t="s">
        <v>226</v>
      </c>
      <c r="E164" s="48" t="s">
        <v>593</v>
      </c>
      <c r="F164" s="48" t="s">
        <v>199</v>
      </c>
      <c r="G164" s="48" t="s">
        <v>558</v>
      </c>
      <c r="H164" s="48" t="s">
        <v>162</v>
      </c>
      <c r="I164" s="48"/>
      <c r="J164" s="42"/>
      <c r="K164" s="43"/>
      <c r="L164" s="44"/>
      <c r="M164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64" s="29">
        <f>Tableau13452729313335374951944325[[#This Row],[MONTANT OPERATION]]+Tableau13452729313335374951944325[[#This Row],[POS  FUSIONNEE CPTE AVANT OP]]</f>
        <v>0</v>
      </c>
      <c r="O164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64" s="32" t="e">
        <f>Tableau13452729313335374951944325[[#This Row],[DEPASSEMENT TOTAL SUR AUTO
]]/-Tableau13452729313335374951944325[[#This Row],[MONTANT AUTO]]</f>
        <v>#VALUE!</v>
      </c>
      <c r="T164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64" s="13">
        <f>ABS(Tableau13452729313335374951944325[[#This Row],[MONTANT DEPASSEMENT]]*0.005)</f>
        <v>0</v>
      </c>
    </row>
    <row r="165" spans="1:21" x14ac:dyDescent="0.25">
      <c r="A165" s="47"/>
      <c r="B165" s="48">
        <v>800</v>
      </c>
      <c r="C165" s="48" t="s">
        <v>444</v>
      </c>
      <c r="D165" s="48" t="s">
        <v>226</v>
      </c>
      <c r="E165" s="48" t="s">
        <v>425</v>
      </c>
      <c r="F165" s="48" t="s">
        <v>152</v>
      </c>
      <c r="G165" s="48" t="s">
        <v>558</v>
      </c>
      <c r="H165" s="48" t="s">
        <v>31</v>
      </c>
      <c r="I165" s="48"/>
      <c r="J165" s="42"/>
      <c r="K165" s="43"/>
      <c r="L165" s="44"/>
      <c r="M165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65" s="29">
        <f>Tableau13452729313335374951944325[[#This Row],[MONTANT OPERATION]]+Tableau13452729313335374951944325[[#This Row],[POS  FUSIONNEE CPTE AVANT OP]]</f>
        <v>0</v>
      </c>
      <c r="O165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65" s="32" t="e">
        <f>Tableau13452729313335374951944325[[#This Row],[DEPASSEMENT TOTAL SUR AUTO
]]/-Tableau13452729313335374951944325[[#This Row],[MONTANT AUTO]]</f>
        <v>#VALUE!</v>
      </c>
      <c r="T165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65" s="13">
        <f>ABS(Tableau13452729313335374951944325[[#This Row],[MONTANT DEPASSEMENT]]*0.005)</f>
        <v>0</v>
      </c>
    </row>
    <row r="166" spans="1:21" x14ac:dyDescent="0.25">
      <c r="A166" s="47"/>
      <c r="B166" s="48">
        <v>800</v>
      </c>
      <c r="C166" s="48" t="s">
        <v>444</v>
      </c>
      <c r="D166" s="48" t="s">
        <v>226</v>
      </c>
      <c r="E166" s="48" t="s">
        <v>594</v>
      </c>
      <c r="F166" s="48" t="s">
        <v>324</v>
      </c>
      <c r="G166" s="48" t="s">
        <v>558</v>
      </c>
      <c r="H166" s="48" t="s">
        <v>31</v>
      </c>
      <c r="I166" s="48"/>
      <c r="J166" s="42"/>
      <c r="K166" s="43"/>
      <c r="L166" s="44"/>
      <c r="M166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66" s="29">
        <f>Tableau13452729313335374951944325[[#This Row],[MONTANT OPERATION]]+Tableau13452729313335374951944325[[#This Row],[POS  FUSIONNEE CPTE AVANT OP]]</f>
        <v>0</v>
      </c>
      <c r="O166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66" s="32" t="e">
        <f>Tableau13452729313335374951944325[[#This Row],[DEPASSEMENT TOTAL SUR AUTO
]]/-Tableau13452729313335374951944325[[#This Row],[MONTANT AUTO]]</f>
        <v>#VALUE!</v>
      </c>
      <c r="T166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66" s="13">
        <f>ABS(Tableau13452729313335374951944325[[#This Row],[MONTANT DEPASSEMENT]]*0.005)</f>
        <v>0</v>
      </c>
    </row>
    <row r="167" spans="1:21" x14ac:dyDescent="0.25">
      <c r="A167" s="47"/>
      <c r="B167" s="48">
        <v>806</v>
      </c>
      <c r="C167" s="48" t="s">
        <v>492</v>
      </c>
      <c r="D167" s="48" t="s">
        <v>543</v>
      </c>
      <c r="E167" s="48" t="s">
        <v>544</v>
      </c>
      <c r="F167" s="48" t="s">
        <v>302</v>
      </c>
      <c r="G167" s="48" t="s">
        <v>545</v>
      </c>
      <c r="H167" s="48" t="s">
        <v>31</v>
      </c>
      <c r="I167" s="48"/>
      <c r="J167" s="42"/>
      <c r="K167" s="43"/>
      <c r="L167" s="44"/>
      <c r="M167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67" s="29">
        <f>Tableau13452729313335374951944325[[#This Row],[MONTANT OPERATION]]+Tableau13452729313335374951944325[[#This Row],[POS  FUSIONNEE CPTE AVANT OP]]</f>
        <v>0</v>
      </c>
      <c r="O167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67" s="32" t="e">
        <f>Tableau13452729313335374951944325[[#This Row],[DEPASSEMENT TOTAL SUR AUTO
]]/-Tableau13452729313335374951944325[[#This Row],[MONTANT AUTO]]</f>
        <v>#VALUE!</v>
      </c>
      <c r="T167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67" s="13">
        <f>ABS(Tableau13452729313335374951944325[[#This Row],[MONTANT DEPASSEMENT]]*0.005)</f>
        <v>0</v>
      </c>
    </row>
    <row r="168" spans="1:21" x14ac:dyDescent="0.25">
      <c r="A168" s="47"/>
      <c r="B168" s="48">
        <v>803</v>
      </c>
      <c r="C168" s="48" t="s">
        <v>447</v>
      </c>
      <c r="D168" s="48" t="s">
        <v>238</v>
      </c>
      <c r="E168" s="48" t="s">
        <v>239</v>
      </c>
      <c r="F168" s="48" t="s">
        <v>187</v>
      </c>
      <c r="G168" s="48" t="s">
        <v>656</v>
      </c>
      <c r="H168" s="48" t="s">
        <v>31</v>
      </c>
      <c r="I168" s="48"/>
      <c r="J168" s="42"/>
      <c r="K168" s="43"/>
      <c r="L168" s="44"/>
      <c r="M168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68" s="29">
        <f>Tableau13452729313335374951944325[[#This Row],[MONTANT OPERATION]]+Tableau13452729313335374951944325[[#This Row],[POS  FUSIONNEE CPTE AVANT OP]]</f>
        <v>0</v>
      </c>
      <c r="O168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68" s="32" t="e">
        <f>Tableau13452729313335374951944325[[#This Row],[DEPASSEMENT TOTAL SUR AUTO
]]/-Tableau13452729313335374951944325[[#This Row],[MONTANT AUTO]]</f>
        <v>#VALUE!</v>
      </c>
      <c r="T168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68" s="13">
        <f>ABS(Tableau13452729313335374951944325[[#This Row],[MONTANT DEPASSEMENT]]*0.005)</f>
        <v>0</v>
      </c>
    </row>
    <row r="169" spans="1:21" x14ac:dyDescent="0.25">
      <c r="A169" s="47"/>
      <c r="B169" s="48">
        <v>711</v>
      </c>
      <c r="C169" s="48" t="s">
        <v>427</v>
      </c>
      <c r="D169" s="48" t="s">
        <v>515</v>
      </c>
      <c r="E169" s="48" t="s">
        <v>516</v>
      </c>
      <c r="F169" s="48" t="s">
        <v>327</v>
      </c>
      <c r="G169" s="48" t="s">
        <v>517</v>
      </c>
      <c r="H169" s="48" t="s">
        <v>27</v>
      </c>
      <c r="I169" s="48"/>
      <c r="J169" s="42"/>
      <c r="K169" s="43"/>
      <c r="L169" s="44"/>
      <c r="M169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69" s="29">
        <f>Tableau13452729313335374951944325[[#This Row],[MONTANT OPERATION]]+Tableau13452729313335374951944325[[#This Row],[POS  FUSIONNEE CPTE AVANT OP]]</f>
        <v>0</v>
      </c>
      <c r="O169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69" s="32" t="e">
        <f>Tableau13452729313335374951944325[[#This Row],[DEPASSEMENT TOTAL SUR AUTO
]]/-Tableau13452729313335374951944325[[#This Row],[MONTANT AUTO]]</f>
        <v>#VALUE!</v>
      </c>
      <c r="T169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69" s="13">
        <f>ABS(Tableau13452729313335374951944325[[#This Row],[MONTANT DEPASSEMENT]]*0.005)</f>
        <v>0</v>
      </c>
    </row>
    <row r="170" spans="1:21" x14ac:dyDescent="0.25">
      <c r="A170" s="47"/>
      <c r="B170" s="48">
        <v>715</v>
      </c>
      <c r="C170" s="48" t="s">
        <v>439</v>
      </c>
      <c r="D170" s="48" t="s">
        <v>391</v>
      </c>
      <c r="E170" s="48" t="s">
        <v>392</v>
      </c>
      <c r="F170" s="48" t="s">
        <v>276</v>
      </c>
      <c r="G170" s="48" t="s">
        <v>561</v>
      </c>
      <c r="H170" s="48" t="s">
        <v>27</v>
      </c>
      <c r="I170" s="48"/>
      <c r="J170" s="42"/>
      <c r="K170" s="43"/>
      <c r="L170" s="44"/>
      <c r="M170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70" s="29">
        <f>Tableau13452729313335374951944325[[#This Row],[MONTANT OPERATION]]+Tableau13452729313335374951944325[[#This Row],[POS  FUSIONNEE CPTE AVANT OP]]</f>
        <v>0</v>
      </c>
      <c r="O170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70" s="32" t="e">
        <f>Tableau13452729313335374951944325[[#This Row],[DEPASSEMENT TOTAL SUR AUTO
]]/-Tableau13452729313335374951944325[[#This Row],[MONTANT AUTO]]</f>
        <v>#VALUE!</v>
      </c>
      <c r="T170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70" s="13">
        <f>ABS(Tableau13452729313335374951944325[[#This Row],[MONTANT DEPASSEMENT]]*0.005)</f>
        <v>0</v>
      </c>
    </row>
    <row r="171" spans="1:21" x14ac:dyDescent="0.25">
      <c r="A171" s="47"/>
      <c r="B171" s="48">
        <v>803</v>
      </c>
      <c r="C171" s="48" t="s">
        <v>447</v>
      </c>
      <c r="D171" s="48" t="s">
        <v>583</v>
      </c>
      <c r="E171" s="48" t="s">
        <v>584</v>
      </c>
      <c r="F171" s="48" t="s">
        <v>424</v>
      </c>
      <c r="G171" s="48" t="s">
        <v>585</v>
      </c>
      <c r="H171" s="48" t="s">
        <v>31</v>
      </c>
      <c r="I171" s="48"/>
      <c r="J171" s="42"/>
      <c r="K171" s="43"/>
      <c r="L171" s="44"/>
      <c r="M171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71" s="29">
        <f>Tableau13452729313335374951944325[[#This Row],[MONTANT OPERATION]]+Tableau13452729313335374951944325[[#This Row],[POS  FUSIONNEE CPTE AVANT OP]]</f>
        <v>0</v>
      </c>
      <c r="O171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71" s="32" t="e">
        <f>Tableau13452729313335374951944325[[#This Row],[DEPASSEMENT TOTAL SUR AUTO
]]/-Tableau13452729313335374951944325[[#This Row],[MONTANT AUTO]]</f>
        <v>#VALUE!</v>
      </c>
      <c r="T171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71" s="13">
        <f>ABS(Tableau13452729313335374951944325[[#This Row],[MONTANT DEPASSEMENT]]*0.005)</f>
        <v>0</v>
      </c>
    </row>
    <row r="172" spans="1:21" x14ac:dyDescent="0.25">
      <c r="A172" s="47"/>
      <c r="B172" s="48">
        <v>803</v>
      </c>
      <c r="C172" s="48" t="s">
        <v>447</v>
      </c>
      <c r="D172" s="48" t="s">
        <v>583</v>
      </c>
      <c r="E172" s="48" t="s">
        <v>650</v>
      </c>
      <c r="F172" s="48" t="s">
        <v>202</v>
      </c>
      <c r="G172" s="48" t="s">
        <v>585</v>
      </c>
      <c r="H172" s="48" t="s">
        <v>31</v>
      </c>
      <c r="I172" s="48"/>
      <c r="J172" s="42"/>
      <c r="K172" s="43"/>
      <c r="L172" s="44"/>
      <c r="M172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72" s="29">
        <f>Tableau13452729313335374951944325[[#This Row],[MONTANT OPERATION]]+Tableau13452729313335374951944325[[#This Row],[POS  FUSIONNEE CPTE AVANT OP]]</f>
        <v>0</v>
      </c>
      <c r="O172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72" s="32" t="e">
        <f>Tableau13452729313335374951944325[[#This Row],[DEPASSEMENT TOTAL SUR AUTO
]]/-Tableau13452729313335374951944325[[#This Row],[MONTANT AUTO]]</f>
        <v>#VALUE!</v>
      </c>
      <c r="T172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72" s="13">
        <f>ABS(Tableau13452729313335374951944325[[#This Row],[MONTANT DEPASSEMENT]]*0.005)</f>
        <v>0</v>
      </c>
    </row>
    <row r="173" spans="1:21" x14ac:dyDescent="0.25">
      <c r="A173" s="47"/>
      <c r="B173" s="48">
        <v>705</v>
      </c>
      <c r="C173" s="48" t="s">
        <v>429</v>
      </c>
      <c r="D173" s="48" t="s">
        <v>38</v>
      </c>
      <c r="E173" s="48" t="s">
        <v>39</v>
      </c>
      <c r="F173" s="48" t="s">
        <v>40</v>
      </c>
      <c r="G173" s="48" t="s">
        <v>489</v>
      </c>
      <c r="H173" s="48" t="s">
        <v>41</v>
      </c>
      <c r="I173" s="48"/>
      <c r="J173" s="23"/>
      <c r="M173" s="29">
        <v>1163184</v>
      </c>
      <c r="N173" s="29">
        <v>-247887876</v>
      </c>
      <c r="O173" s="29" t="s">
        <v>78</v>
      </c>
      <c r="P173" s="32" t="e">
        <v>#VALUE!</v>
      </c>
      <c r="S173" s="13" t="s">
        <v>101</v>
      </c>
      <c r="T173" s="29">
        <f>IF(Tableau13452729313335374951944325[[#This Row],[0,5% du dép]]&lt;5000,5000,IF(Tableau13452729313335374951944325[[#This Row],[0,5% du dép]]&gt;50000,50000,Tableau13452729313335374951944325[[#This Row],[0,5% du dép]]))</f>
        <v>5815.92</v>
      </c>
      <c r="U173" s="13">
        <f>ABS(Tableau13452729313335374951944325[[#This Row],[MONTANT DEPASSEMENT]]*0.005)</f>
        <v>5815.92</v>
      </c>
    </row>
    <row r="174" spans="1:21" x14ac:dyDescent="0.25">
      <c r="A174" s="47"/>
      <c r="B174" s="48">
        <v>713</v>
      </c>
      <c r="C174" s="48" t="s">
        <v>433</v>
      </c>
      <c r="D174" s="48" t="s">
        <v>396</v>
      </c>
      <c r="E174" s="48" t="s">
        <v>397</v>
      </c>
      <c r="F174" s="48" t="s">
        <v>349</v>
      </c>
      <c r="G174" s="48" t="s">
        <v>540</v>
      </c>
      <c r="H174" s="48" t="s">
        <v>27</v>
      </c>
      <c r="I174" s="48"/>
      <c r="J174" s="42"/>
      <c r="K174" s="43"/>
      <c r="L174" s="44"/>
      <c r="M174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74" s="29">
        <f>Tableau13452729313335374951944325[[#This Row],[MONTANT OPERATION]]+Tableau13452729313335374951944325[[#This Row],[POS  FUSIONNEE CPTE AVANT OP]]</f>
        <v>0</v>
      </c>
      <c r="O174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74" s="32" t="e">
        <f>Tableau13452729313335374951944325[[#This Row],[DEPASSEMENT TOTAL SUR AUTO
]]/-Tableau13452729313335374951944325[[#This Row],[MONTANT AUTO]]</f>
        <v>#VALUE!</v>
      </c>
      <c r="T174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74" s="13">
        <f>ABS(Tableau13452729313335374951944325[[#This Row],[MONTANT DEPASSEMENT]]*0.005)</f>
        <v>0</v>
      </c>
    </row>
    <row r="175" spans="1:21" x14ac:dyDescent="0.25">
      <c r="A175" s="47"/>
      <c r="B175" s="48">
        <v>701</v>
      </c>
      <c r="C175" s="48" t="s">
        <v>426</v>
      </c>
      <c r="D175" s="48" t="s">
        <v>44</v>
      </c>
      <c r="E175" s="48" t="s">
        <v>45</v>
      </c>
      <c r="F175" s="48" t="s">
        <v>117</v>
      </c>
      <c r="G175" s="48" t="s">
        <v>46</v>
      </c>
      <c r="H175" s="48" t="s">
        <v>47</v>
      </c>
      <c r="I175" s="48"/>
      <c r="J175" s="42"/>
      <c r="K175" s="43"/>
      <c r="L175" s="44"/>
      <c r="M175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75" s="29">
        <f>Tableau13452729313335374951944325[[#This Row],[MONTANT OPERATION]]+Tableau13452729313335374951944325[[#This Row],[POS  FUSIONNEE CPTE AVANT OP]]</f>
        <v>0</v>
      </c>
      <c r="O175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75" s="32" t="e">
        <f>Tableau13452729313335374951944325[[#This Row],[DEPASSEMENT TOTAL SUR AUTO
]]/-Tableau13452729313335374951944325[[#This Row],[MONTANT AUTO]]</f>
        <v>#VALUE!</v>
      </c>
      <c r="T175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75" s="13">
        <f>ABS(Tableau13452729313335374951944325[[#This Row],[MONTANT DEPASSEMENT]]*0.005)</f>
        <v>0</v>
      </c>
    </row>
    <row r="176" spans="1:21" x14ac:dyDescent="0.25">
      <c r="A176" s="47"/>
      <c r="B176" s="48">
        <v>711</v>
      </c>
      <c r="C176" s="48" t="s">
        <v>427</v>
      </c>
      <c r="D176" s="48" t="s">
        <v>84</v>
      </c>
      <c r="E176" s="48" t="s">
        <v>85</v>
      </c>
      <c r="F176" s="48" t="s">
        <v>86</v>
      </c>
      <c r="G176" s="48" t="s">
        <v>428</v>
      </c>
      <c r="H176" s="48" t="s">
        <v>31</v>
      </c>
      <c r="I176" s="48"/>
      <c r="J176" s="42"/>
      <c r="K176" s="43"/>
      <c r="L176" s="44"/>
      <c r="M176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76" s="29">
        <f>Tableau13452729313335374951944325[[#This Row],[MONTANT OPERATION]]+Tableau13452729313335374951944325[[#This Row],[POS  FUSIONNEE CPTE AVANT OP]]</f>
        <v>0</v>
      </c>
      <c r="O176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76" s="32" t="e">
        <f>Tableau13452729313335374951944325[[#This Row],[DEPASSEMENT TOTAL SUR AUTO
]]/-Tableau13452729313335374951944325[[#This Row],[MONTANT AUTO]]</f>
        <v>#VALUE!</v>
      </c>
      <c r="T176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76" s="13">
        <f>ABS(Tableau13452729313335374951944325[[#This Row],[MONTANT DEPASSEMENT]]*0.005)</f>
        <v>0</v>
      </c>
    </row>
    <row r="177" spans="1:25" x14ac:dyDescent="0.25">
      <c r="A177" s="47"/>
      <c r="B177" s="48">
        <v>705</v>
      </c>
      <c r="C177" s="48" t="s">
        <v>429</v>
      </c>
      <c r="D177" s="48" t="s">
        <v>217</v>
      </c>
      <c r="E177" s="48" t="s">
        <v>218</v>
      </c>
      <c r="F177" s="48" t="s">
        <v>219</v>
      </c>
      <c r="G177" s="48" t="s">
        <v>430</v>
      </c>
      <c r="H177" s="48" t="s">
        <v>47</v>
      </c>
      <c r="I177" s="48"/>
      <c r="J177" s="42"/>
      <c r="K177" s="43"/>
      <c r="L177" s="44"/>
      <c r="M177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77" s="29">
        <f>Tableau13452729313335374951944325[[#This Row],[MONTANT OPERATION]]+Tableau13452729313335374951944325[[#This Row],[POS  FUSIONNEE CPTE AVANT OP]]</f>
        <v>0</v>
      </c>
      <c r="O177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77" s="32" t="e">
        <f>Tableau13452729313335374951944325[[#This Row],[DEPASSEMENT TOTAL SUR AUTO
]]/-Tableau13452729313335374951944325[[#This Row],[MONTANT AUTO]]</f>
        <v>#VALUE!</v>
      </c>
      <c r="T177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77" s="13">
        <f>ABS(Tableau13452729313335374951944325[[#This Row],[MONTANT DEPASSEMENT]]*0.005)</f>
        <v>0</v>
      </c>
    </row>
    <row r="178" spans="1:25" x14ac:dyDescent="0.25">
      <c r="A178" s="47"/>
      <c r="B178" s="48">
        <v>712</v>
      </c>
      <c r="C178" s="48" t="s">
        <v>431</v>
      </c>
      <c r="D178" s="48" t="s">
        <v>200</v>
      </c>
      <c r="E178" s="48" t="s">
        <v>201</v>
      </c>
      <c r="F178" s="48" t="s">
        <v>202</v>
      </c>
      <c r="G178" s="48" t="s">
        <v>432</v>
      </c>
      <c r="H178" s="48" t="s">
        <v>60</v>
      </c>
      <c r="I178" s="48"/>
      <c r="J178" s="42"/>
      <c r="K178" s="43"/>
      <c r="L178" s="44"/>
      <c r="M178" s="29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78" s="29">
        <f>Tableau13452729313335374951944325[[#This Row],[MONTANT OPERATION]]+Tableau13452729313335374951944325[[#This Row],[POS  FUSIONNEE CPTE AVANT OP]]</f>
        <v>0</v>
      </c>
      <c r="O178" s="29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78" s="32" t="e">
        <f>Tableau13452729313335374951944325[[#This Row],[DEPASSEMENT TOTAL SUR AUTO
]]/-Tableau13452729313335374951944325[[#This Row],[MONTANT AUTO]]</f>
        <v>#VALUE!</v>
      </c>
      <c r="T178" s="29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78" s="13">
        <f>ABS(Tableau13452729313335374951944325[[#This Row],[MONTANT DEPASSEMENT]]*0.005)</f>
        <v>0</v>
      </c>
    </row>
    <row r="179" spans="1:25" x14ac:dyDescent="0.25">
      <c r="A179" s="33"/>
      <c r="B179" s="34">
        <v>713</v>
      </c>
      <c r="C179" s="34" t="s">
        <v>433</v>
      </c>
      <c r="D179" s="53" t="s">
        <v>362</v>
      </c>
      <c r="E179" s="53" t="s">
        <v>363</v>
      </c>
      <c r="F179" s="53" t="s">
        <v>317</v>
      </c>
      <c r="G179" s="34" t="s">
        <v>434</v>
      </c>
      <c r="H179" s="34" t="s">
        <v>27</v>
      </c>
      <c r="I179" s="33"/>
      <c r="J179" s="42"/>
      <c r="K179" s="43"/>
      <c r="L179" s="44"/>
      <c r="M17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79" s="38">
        <f>Tableau13452729313335374951944325[[#This Row],[MONTANT OPERATION]]+Tableau13452729313335374951944325[[#This Row],[POS  FUSIONNEE CPTE AVANT OP]]</f>
        <v>0</v>
      </c>
      <c r="O17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79" s="39" t="e">
        <f>Tableau13452729313335374951944325[[#This Row],[DEPASSEMENT TOTAL SUR AUTO
]]/-Tableau13452729313335374951944325[[#This Row],[MONTANT AUTO]]</f>
        <v>#VALUE!</v>
      </c>
      <c r="Q179" s="33"/>
      <c r="R179" s="33"/>
      <c r="S179" s="33"/>
      <c r="T17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79" s="57">
        <f>ABS(Tableau13452729313335374951944325[[#This Row],[MONTANT DEPASSEMENT]]*0.005)</f>
        <v>0</v>
      </c>
      <c r="V179" s="33"/>
      <c r="W179" s="33"/>
      <c r="X179" s="33"/>
      <c r="Y179" s="33"/>
    </row>
    <row r="180" spans="1:25" x14ac:dyDescent="0.25">
      <c r="A180" s="33"/>
      <c r="B180" s="34">
        <v>714</v>
      </c>
      <c r="C180" s="34" t="s">
        <v>435</v>
      </c>
      <c r="D180" s="53" t="s">
        <v>157</v>
      </c>
      <c r="E180" s="53" t="s">
        <v>181</v>
      </c>
      <c r="F180" s="53" t="s">
        <v>158</v>
      </c>
      <c r="G180" s="34" t="s">
        <v>436</v>
      </c>
      <c r="H180" s="34" t="s">
        <v>27</v>
      </c>
      <c r="I180" s="33"/>
      <c r="J180" s="42"/>
      <c r="K180" s="43"/>
      <c r="L180" s="44"/>
      <c r="M18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80" s="38">
        <f>Tableau13452729313335374951944325[[#This Row],[MONTANT OPERATION]]+Tableau13452729313335374951944325[[#This Row],[POS  FUSIONNEE CPTE AVANT OP]]</f>
        <v>0</v>
      </c>
      <c r="O18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80" s="39" t="e">
        <f>Tableau13452729313335374951944325[[#This Row],[DEPASSEMENT TOTAL SUR AUTO
]]/-Tableau13452729313335374951944325[[#This Row],[MONTANT AUTO]]</f>
        <v>#VALUE!</v>
      </c>
      <c r="Q180" s="33"/>
      <c r="R180" s="33"/>
      <c r="S180" s="33"/>
      <c r="T18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80" s="57">
        <f>ABS(Tableau13452729313335374951944325[[#This Row],[MONTANT DEPASSEMENT]]*0.005)</f>
        <v>0</v>
      </c>
      <c r="V180" s="33"/>
      <c r="W180" s="33"/>
      <c r="X180" s="33"/>
      <c r="Y180" s="33"/>
    </row>
    <row r="181" spans="1:25" x14ac:dyDescent="0.25">
      <c r="A181" s="33"/>
      <c r="B181" s="34">
        <v>714</v>
      </c>
      <c r="C181" s="34" t="s">
        <v>435</v>
      </c>
      <c r="D181" s="53" t="s">
        <v>257</v>
      </c>
      <c r="E181" s="53" t="s">
        <v>258</v>
      </c>
      <c r="F181" s="53" t="s">
        <v>259</v>
      </c>
      <c r="G181" s="34" t="s">
        <v>437</v>
      </c>
      <c r="H181" s="34" t="s">
        <v>27</v>
      </c>
      <c r="I181" s="33"/>
      <c r="J181" s="42"/>
      <c r="K181" s="43"/>
      <c r="L181" s="44"/>
      <c r="M18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81" s="38">
        <f>Tableau13452729313335374951944325[[#This Row],[MONTANT OPERATION]]+Tableau13452729313335374951944325[[#This Row],[POS  FUSIONNEE CPTE AVANT OP]]</f>
        <v>0</v>
      </c>
      <c r="O18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81" s="39" t="e">
        <f>Tableau13452729313335374951944325[[#This Row],[DEPASSEMENT TOTAL SUR AUTO
]]/-Tableau13452729313335374951944325[[#This Row],[MONTANT AUTO]]</f>
        <v>#VALUE!</v>
      </c>
      <c r="Q181" s="33"/>
      <c r="R181" s="33"/>
      <c r="S181" s="33"/>
      <c r="T18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81" s="57">
        <f>ABS(Tableau13452729313335374951944325[[#This Row],[MONTANT DEPASSEMENT]]*0.005)</f>
        <v>0</v>
      </c>
      <c r="V181" s="33"/>
      <c r="W181" s="33"/>
      <c r="X181" s="33"/>
      <c r="Y181" s="33"/>
    </row>
    <row r="182" spans="1:25" x14ac:dyDescent="0.25">
      <c r="A182" s="33"/>
      <c r="B182" s="34">
        <v>714</v>
      </c>
      <c r="C182" s="34" t="s">
        <v>435</v>
      </c>
      <c r="D182" s="53" t="s">
        <v>243</v>
      </c>
      <c r="E182" s="53" t="s">
        <v>244</v>
      </c>
      <c r="F182" s="53" t="s">
        <v>245</v>
      </c>
      <c r="G182" s="34" t="s">
        <v>438</v>
      </c>
      <c r="H182" s="34" t="s">
        <v>27</v>
      </c>
      <c r="I182" s="33"/>
      <c r="J182" s="42"/>
      <c r="K182" s="43"/>
      <c r="L182" s="44"/>
      <c r="M18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82" s="38">
        <f>Tableau13452729313335374951944325[[#This Row],[MONTANT OPERATION]]+Tableau13452729313335374951944325[[#This Row],[POS  FUSIONNEE CPTE AVANT OP]]</f>
        <v>0</v>
      </c>
      <c r="O18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82" s="39" t="e">
        <f>Tableau13452729313335374951944325[[#This Row],[DEPASSEMENT TOTAL SUR AUTO
]]/-Tableau13452729313335374951944325[[#This Row],[MONTANT AUTO]]</f>
        <v>#VALUE!</v>
      </c>
      <c r="Q182" s="33"/>
      <c r="R182" s="33"/>
      <c r="S182" s="33"/>
      <c r="T18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82" s="57">
        <f>ABS(Tableau13452729313335374951944325[[#This Row],[MONTANT DEPASSEMENT]]*0.005)</f>
        <v>0</v>
      </c>
      <c r="V182" s="33"/>
      <c r="W182" s="33"/>
      <c r="X182" s="33"/>
      <c r="Y182" s="33"/>
    </row>
    <row r="183" spans="1:25" x14ac:dyDescent="0.25">
      <c r="A183" s="33"/>
      <c r="B183" s="34">
        <v>715</v>
      </c>
      <c r="C183" s="34" t="s">
        <v>439</v>
      </c>
      <c r="D183" s="53" t="s">
        <v>215</v>
      </c>
      <c r="E183" s="53" t="s">
        <v>216</v>
      </c>
      <c r="F183" s="53" t="s">
        <v>282</v>
      </c>
      <c r="G183" s="34" t="s">
        <v>440</v>
      </c>
      <c r="H183" s="34" t="s">
        <v>31</v>
      </c>
      <c r="I183" s="33"/>
      <c r="J183" s="42"/>
      <c r="K183" s="43"/>
      <c r="L183" s="44"/>
      <c r="M18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83" s="38">
        <f>Tableau13452729313335374951944325[[#This Row],[MONTANT OPERATION]]+Tableau13452729313335374951944325[[#This Row],[POS  FUSIONNEE CPTE AVANT OP]]</f>
        <v>0</v>
      </c>
      <c r="O18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83" s="39" t="e">
        <f>Tableau13452729313335374951944325[[#This Row],[DEPASSEMENT TOTAL SUR AUTO
]]/-Tableau13452729313335374951944325[[#This Row],[MONTANT AUTO]]</f>
        <v>#VALUE!</v>
      </c>
      <c r="Q183" s="33"/>
      <c r="R183" s="33"/>
      <c r="S183" s="33"/>
      <c r="T18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83" s="57">
        <f>ABS(Tableau13452729313335374951944325[[#This Row],[MONTANT DEPASSEMENT]]*0.005)</f>
        <v>0</v>
      </c>
      <c r="V183" s="33"/>
      <c r="W183" s="33"/>
      <c r="X183" s="33"/>
      <c r="Y183" s="33"/>
    </row>
    <row r="184" spans="1:25" x14ac:dyDescent="0.25">
      <c r="A184" s="33"/>
      <c r="B184" s="34">
        <v>715</v>
      </c>
      <c r="C184" s="34" t="s">
        <v>439</v>
      </c>
      <c r="D184" s="53" t="s">
        <v>183</v>
      </c>
      <c r="E184" s="53" t="s">
        <v>113</v>
      </c>
      <c r="F184" s="53" t="s">
        <v>184</v>
      </c>
      <c r="G184" s="34" t="s">
        <v>441</v>
      </c>
      <c r="H184" s="34" t="s">
        <v>27</v>
      </c>
      <c r="I184" s="33"/>
      <c r="J184" s="42"/>
      <c r="K184" s="43"/>
      <c r="L184" s="44"/>
      <c r="M18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84" s="38">
        <f>Tableau13452729313335374951944325[[#This Row],[MONTANT OPERATION]]+Tableau13452729313335374951944325[[#This Row],[POS  FUSIONNEE CPTE AVANT OP]]</f>
        <v>0</v>
      </c>
      <c r="O18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84" s="39" t="e">
        <f>Tableau13452729313335374951944325[[#This Row],[DEPASSEMENT TOTAL SUR AUTO
]]/-Tableau13452729313335374951944325[[#This Row],[MONTANT AUTO]]</f>
        <v>#VALUE!</v>
      </c>
      <c r="Q184" s="33"/>
      <c r="R184" s="33"/>
      <c r="S184" s="33"/>
      <c r="T18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84" s="57">
        <f>ABS(Tableau13452729313335374951944325[[#This Row],[MONTANT DEPASSEMENT]]*0.005)</f>
        <v>0</v>
      </c>
      <c r="V184" s="33"/>
      <c r="W184" s="33"/>
      <c r="X184" s="33"/>
      <c r="Y184" s="33"/>
    </row>
    <row r="185" spans="1:25" x14ac:dyDescent="0.25">
      <c r="A185" s="33"/>
      <c r="B185" s="34">
        <v>807</v>
      </c>
      <c r="C185" s="34" t="s">
        <v>442</v>
      </c>
      <c r="D185" s="53" t="s">
        <v>190</v>
      </c>
      <c r="E185" s="53" t="s">
        <v>212</v>
      </c>
      <c r="F185" s="53" t="s">
        <v>92</v>
      </c>
      <c r="G185" s="34" t="s">
        <v>443</v>
      </c>
      <c r="H185" s="34" t="s">
        <v>31</v>
      </c>
      <c r="I185" s="33"/>
      <c r="J185" s="42"/>
      <c r="K185" s="43"/>
      <c r="L185" s="44"/>
      <c r="M18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85" s="38">
        <f>Tableau13452729313335374951944325[[#This Row],[MONTANT OPERATION]]+Tableau13452729313335374951944325[[#This Row],[POS  FUSIONNEE CPTE AVANT OP]]</f>
        <v>0</v>
      </c>
      <c r="O18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85" s="39" t="e">
        <f>Tableau13452729313335374951944325[[#This Row],[DEPASSEMENT TOTAL SUR AUTO
]]/-Tableau13452729313335374951944325[[#This Row],[MONTANT AUTO]]</f>
        <v>#VALUE!</v>
      </c>
      <c r="Q185" s="33"/>
      <c r="R185" s="33"/>
      <c r="S185" s="33"/>
      <c r="T18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85" s="57">
        <f>ABS(Tableau13452729313335374951944325[[#This Row],[MONTANT DEPASSEMENT]]*0.005)</f>
        <v>0</v>
      </c>
      <c r="V185" s="33"/>
      <c r="W185" s="33"/>
      <c r="X185" s="33"/>
      <c r="Y185" s="33"/>
    </row>
    <row r="186" spans="1:25" x14ac:dyDescent="0.25">
      <c r="A186" s="33"/>
      <c r="B186" s="34">
        <v>800</v>
      </c>
      <c r="C186" s="34" t="s">
        <v>444</v>
      </c>
      <c r="D186" s="53" t="s">
        <v>97</v>
      </c>
      <c r="E186" s="53" t="s">
        <v>98</v>
      </c>
      <c r="F186" s="53" t="s">
        <v>81</v>
      </c>
      <c r="G186" s="34" t="s">
        <v>445</v>
      </c>
      <c r="H186" s="34" t="s">
        <v>31</v>
      </c>
      <c r="I186" s="33"/>
      <c r="J186" s="42"/>
      <c r="K186" s="43"/>
      <c r="L186" s="44"/>
      <c r="M18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86" s="38">
        <f>Tableau13452729313335374951944325[[#This Row],[MONTANT OPERATION]]+Tableau13452729313335374951944325[[#This Row],[POS  FUSIONNEE CPTE AVANT OP]]</f>
        <v>0</v>
      </c>
      <c r="O18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86" s="39" t="e">
        <f>Tableau13452729313335374951944325[[#This Row],[DEPASSEMENT TOTAL SUR AUTO
]]/-Tableau13452729313335374951944325[[#This Row],[MONTANT AUTO]]</f>
        <v>#VALUE!</v>
      </c>
      <c r="Q186" s="33"/>
      <c r="R186" s="33"/>
      <c r="S186" s="33"/>
      <c r="T18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86" s="57">
        <f>ABS(Tableau13452729313335374951944325[[#This Row],[MONTANT DEPASSEMENT]]*0.005)</f>
        <v>0</v>
      </c>
      <c r="V186" s="33"/>
      <c r="W186" s="33"/>
      <c r="X186" s="33"/>
      <c r="Y186" s="33"/>
    </row>
    <row r="187" spans="1:25" x14ac:dyDescent="0.25">
      <c r="A187" s="33"/>
      <c r="B187" s="34">
        <v>803</v>
      </c>
      <c r="C187" s="34" t="s">
        <v>447</v>
      </c>
      <c r="D187" s="53" t="s">
        <v>70</v>
      </c>
      <c r="E187" s="53" t="s">
        <v>71</v>
      </c>
      <c r="F187" s="53" t="s">
        <v>96</v>
      </c>
      <c r="G187" s="34" t="s">
        <v>448</v>
      </c>
      <c r="H187" s="34" t="s">
        <v>31</v>
      </c>
      <c r="I187" s="33"/>
      <c r="J187" s="42"/>
      <c r="K187" s="43"/>
      <c r="L187" s="44"/>
      <c r="M18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87" s="38">
        <f>Tableau13452729313335374951944325[[#This Row],[MONTANT OPERATION]]+Tableau13452729313335374951944325[[#This Row],[POS  FUSIONNEE CPTE AVANT OP]]</f>
        <v>0</v>
      </c>
      <c r="O18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87" s="39" t="e">
        <f>Tableau13452729313335374951944325[[#This Row],[DEPASSEMENT TOTAL SUR AUTO
]]/-Tableau13452729313335374951944325[[#This Row],[MONTANT AUTO]]</f>
        <v>#VALUE!</v>
      </c>
      <c r="Q187" s="33"/>
      <c r="R187" s="33"/>
      <c r="S187" s="33"/>
      <c r="T18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87" s="57">
        <f>ABS(Tableau13452729313335374951944325[[#This Row],[MONTANT DEPASSEMENT]]*0.005)</f>
        <v>0</v>
      </c>
      <c r="V187" s="33"/>
      <c r="W187" s="33"/>
      <c r="X187" s="33"/>
      <c r="Y187" s="33"/>
    </row>
    <row r="188" spans="1:25" x14ac:dyDescent="0.25">
      <c r="A188" s="33"/>
      <c r="B188" s="34">
        <v>701</v>
      </c>
      <c r="C188" s="34" t="s">
        <v>426</v>
      </c>
      <c r="D188" s="53" t="s">
        <v>449</v>
      </c>
      <c r="E188" s="53" t="s">
        <v>450</v>
      </c>
      <c r="F188" s="53" t="s">
        <v>210</v>
      </c>
      <c r="G188" s="34" t="s">
        <v>451</v>
      </c>
      <c r="H188" s="34" t="s">
        <v>47</v>
      </c>
      <c r="I188" s="33"/>
      <c r="J188" s="42"/>
      <c r="K188" s="43"/>
      <c r="L188" s="44"/>
      <c r="M18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88" s="38">
        <f>Tableau13452729313335374951944325[[#This Row],[MONTANT OPERATION]]+Tableau13452729313335374951944325[[#This Row],[POS  FUSIONNEE CPTE AVANT OP]]</f>
        <v>0</v>
      </c>
      <c r="O18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88" s="39" t="e">
        <f>Tableau13452729313335374951944325[[#This Row],[DEPASSEMENT TOTAL SUR AUTO
]]/-Tableau13452729313335374951944325[[#This Row],[MONTANT AUTO]]</f>
        <v>#VALUE!</v>
      </c>
      <c r="Q188" s="33"/>
      <c r="R188" s="33"/>
      <c r="S188" s="33"/>
      <c r="T18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88" s="57">
        <f>ABS(Tableau13452729313335374951944325[[#This Row],[MONTANT DEPASSEMENT]]*0.005)</f>
        <v>0</v>
      </c>
      <c r="V188" s="33"/>
      <c r="W188" s="33"/>
      <c r="X188" s="33"/>
      <c r="Y188" s="33"/>
    </row>
    <row r="189" spans="1:25" x14ac:dyDescent="0.25">
      <c r="A189" s="33"/>
      <c r="B189" s="34">
        <v>701</v>
      </c>
      <c r="C189" s="34" t="s">
        <v>426</v>
      </c>
      <c r="D189" s="53" t="s">
        <v>309</v>
      </c>
      <c r="E189" s="53" t="s">
        <v>323</v>
      </c>
      <c r="F189" s="53" t="s">
        <v>250</v>
      </c>
      <c r="G189" s="34" t="s">
        <v>452</v>
      </c>
      <c r="H189" s="34" t="s">
        <v>93</v>
      </c>
      <c r="I189" s="33"/>
      <c r="J189" s="42"/>
      <c r="K189" s="43"/>
      <c r="L189" s="44"/>
      <c r="M18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89" s="38">
        <f>Tableau13452729313335374951944325[[#This Row],[MONTANT OPERATION]]+Tableau13452729313335374951944325[[#This Row],[POS  FUSIONNEE CPTE AVANT OP]]</f>
        <v>0</v>
      </c>
      <c r="O18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89" s="39" t="e">
        <f>Tableau13452729313335374951944325[[#This Row],[DEPASSEMENT TOTAL SUR AUTO
]]/-Tableau13452729313335374951944325[[#This Row],[MONTANT AUTO]]</f>
        <v>#VALUE!</v>
      </c>
      <c r="Q189" s="33"/>
      <c r="R189" s="33"/>
      <c r="S189" s="33"/>
      <c r="T18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89" s="57">
        <f>ABS(Tableau13452729313335374951944325[[#This Row],[MONTANT DEPASSEMENT]]*0.005)</f>
        <v>0</v>
      </c>
      <c r="V189" s="33"/>
      <c r="W189" s="33"/>
      <c r="X189" s="33"/>
      <c r="Y189" s="33"/>
    </row>
    <row r="190" spans="1:25" x14ac:dyDescent="0.25">
      <c r="A190" s="33"/>
      <c r="B190" s="34">
        <v>701</v>
      </c>
      <c r="C190" s="34" t="s">
        <v>426</v>
      </c>
      <c r="D190" s="53" t="s">
        <v>309</v>
      </c>
      <c r="E190" s="53" t="s">
        <v>398</v>
      </c>
      <c r="F190" s="53" t="s">
        <v>116</v>
      </c>
      <c r="G190" s="34" t="s">
        <v>452</v>
      </c>
      <c r="H190" s="34" t="s">
        <v>93</v>
      </c>
      <c r="I190" s="33"/>
      <c r="J190" s="42"/>
      <c r="K190" s="43"/>
      <c r="L190" s="44"/>
      <c r="M19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90" s="38">
        <f>Tableau13452729313335374951944325[[#This Row],[MONTANT OPERATION]]+Tableau13452729313335374951944325[[#This Row],[POS  FUSIONNEE CPTE AVANT OP]]</f>
        <v>0</v>
      </c>
      <c r="O19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90" s="39" t="e">
        <f>Tableau13452729313335374951944325[[#This Row],[DEPASSEMENT TOTAL SUR AUTO
]]/-Tableau13452729313335374951944325[[#This Row],[MONTANT AUTO]]</f>
        <v>#VALUE!</v>
      </c>
      <c r="Q190" s="33"/>
      <c r="R190" s="33"/>
      <c r="S190" s="33"/>
      <c r="T19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90" s="57">
        <f>ABS(Tableau13452729313335374951944325[[#This Row],[MONTANT DEPASSEMENT]]*0.005)</f>
        <v>0</v>
      </c>
      <c r="V190" s="33"/>
      <c r="W190" s="33"/>
      <c r="X190" s="33"/>
      <c r="Y190" s="33"/>
    </row>
    <row r="191" spans="1:25" x14ac:dyDescent="0.25">
      <c r="A191" s="33"/>
      <c r="B191" s="34">
        <v>703</v>
      </c>
      <c r="C191" s="34" t="s">
        <v>453</v>
      </c>
      <c r="D191" s="53" t="s">
        <v>376</v>
      </c>
      <c r="E191" s="53" t="s">
        <v>377</v>
      </c>
      <c r="F191" s="53" t="s">
        <v>203</v>
      </c>
      <c r="G191" s="34" t="s">
        <v>454</v>
      </c>
      <c r="H191" s="34" t="s">
        <v>47</v>
      </c>
      <c r="I191" s="33"/>
      <c r="J191" s="42"/>
      <c r="K191" s="43"/>
      <c r="L191" s="44"/>
      <c r="M19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91" s="38">
        <f>Tableau13452729313335374951944325[[#This Row],[MONTANT OPERATION]]+Tableau13452729313335374951944325[[#This Row],[POS  FUSIONNEE CPTE AVANT OP]]</f>
        <v>0</v>
      </c>
      <c r="O19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91" s="39" t="e">
        <f>Tableau13452729313335374951944325[[#This Row],[DEPASSEMENT TOTAL SUR AUTO
]]/-Tableau13452729313335374951944325[[#This Row],[MONTANT AUTO]]</f>
        <v>#VALUE!</v>
      </c>
      <c r="Q191" s="33"/>
      <c r="R191" s="33"/>
      <c r="S191" s="33"/>
      <c r="T19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91" s="57">
        <f>ABS(Tableau13452729313335374951944325[[#This Row],[MONTANT DEPASSEMENT]]*0.005)</f>
        <v>0</v>
      </c>
      <c r="V191" s="33"/>
      <c r="W191" s="33"/>
      <c r="X191" s="33"/>
      <c r="Y191" s="33"/>
    </row>
    <row r="192" spans="1:25" x14ac:dyDescent="0.25">
      <c r="A192" s="33"/>
      <c r="B192" s="34">
        <v>703</v>
      </c>
      <c r="C192" s="34" t="s">
        <v>453</v>
      </c>
      <c r="D192" s="53" t="s">
        <v>67</v>
      </c>
      <c r="E192" s="53" t="s">
        <v>291</v>
      </c>
      <c r="F192" s="53" t="s">
        <v>292</v>
      </c>
      <c r="G192" s="34" t="s">
        <v>455</v>
      </c>
      <c r="H192" s="34" t="s">
        <v>47</v>
      </c>
      <c r="I192" s="33"/>
      <c r="J192" s="42"/>
      <c r="K192" s="43"/>
      <c r="L192" s="44"/>
      <c r="M19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92" s="38">
        <f>Tableau13452729313335374951944325[[#This Row],[MONTANT OPERATION]]+Tableau13452729313335374951944325[[#This Row],[POS  FUSIONNEE CPTE AVANT OP]]</f>
        <v>0</v>
      </c>
      <c r="O19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92" s="39" t="e">
        <f>Tableau13452729313335374951944325[[#This Row],[DEPASSEMENT TOTAL SUR AUTO
]]/-Tableau13452729313335374951944325[[#This Row],[MONTANT AUTO]]</f>
        <v>#VALUE!</v>
      </c>
      <c r="Q192" s="33"/>
      <c r="R192" s="33"/>
      <c r="S192" s="33"/>
      <c r="T19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92" s="57">
        <f>ABS(Tableau13452729313335374951944325[[#This Row],[MONTANT DEPASSEMENT]]*0.005)</f>
        <v>0</v>
      </c>
      <c r="V192" s="33"/>
      <c r="W192" s="33"/>
      <c r="X192" s="33"/>
      <c r="Y192" s="33"/>
    </row>
    <row r="193" spans="1:25" x14ac:dyDescent="0.25">
      <c r="A193" s="33"/>
      <c r="B193" s="34">
        <v>703</v>
      </c>
      <c r="C193" s="34" t="s">
        <v>453</v>
      </c>
      <c r="D193" s="53" t="s">
        <v>287</v>
      </c>
      <c r="E193" s="53" t="s">
        <v>288</v>
      </c>
      <c r="F193" s="53" t="s">
        <v>49</v>
      </c>
      <c r="G193" s="34" t="s">
        <v>456</v>
      </c>
      <c r="H193" s="34" t="s">
        <v>47</v>
      </c>
      <c r="I193" s="33"/>
      <c r="J193" s="42"/>
      <c r="K193" s="43"/>
      <c r="L193" s="44"/>
      <c r="M19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93" s="38">
        <f>Tableau13452729313335374951944325[[#This Row],[MONTANT OPERATION]]+Tableau13452729313335374951944325[[#This Row],[POS  FUSIONNEE CPTE AVANT OP]]</f>
        <v>0</v>
      </c>
      <c r="O19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93" s="39" t="e">
        <f>Tableau13452729313335374951944325[[#This Row],[DEPASSEMENT TOTAL SUR AUTO
]]/-Tableau13452729313335374951944325[[#This Row],[MONTANT AUTO]]</f>
        <v>#VALUE!</v>
      </c>
      <c r="Q193" s="33"/>
      <c r="R193" s="33"/>
      <c r="S193" s="33"/>
      <c r="T19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93" s="57">
        <f>ABS(Tableau13452729313335374951944325[[#This Row],[MONTANT DEPASSEMENT]]*0.005)</f>
        <v>0</v>
      </c>
      <c r="V193" s="33"/>
      <c r="W193" s="33"/>
      <c r="X193" s="33"/>
      <c r="Y193" s="33"/>
    </row>
    <row r="194" spans="1:25" x14ac:dyDescent="0.25">
      <c r="A194" s="33"/>
      <c r="B194" s="34">
        <v>703</v>
      </c>
      <c r="C194" s="34" t="s">
        <v>453</v>
      </c>
      <c r="D194" s="53" t="s">
        <v>457</v>
      </c>
      <c r="E194" s="53" t="s">
        <v>458</v>
      </c>
      <c r="F194" s="53" t="s">
        <v>187</v>
      </c>
      <c r="G194" s="34" t="s">
        <v>459</v>
      </c>
      <c r="H194" s="34" t="s">
        <v>47</v>
      </c>
      <c r="I194" s="33"/>
      <c r="J194" s="42"/>
      <c r="K194" s="43"/>
      <c r="L194" s="44"/>
      <c r="M19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94" s="38">
        <f>Tableau13452729313335374951944325[[#This Row],[MONTANT OPERATION]]+Tableau13452729313335374951944325[[#This Row],[POS  FUSIONNEE CPTE AVANT OP]]</f>
        <v>0</v>
      </c>
      <c r="O19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94" s="39" t="e">
        <f>Tableau13452729313335374951944325[[#This Row],[DEPASSEMENT TOTAL SUR AUTO
]]/-Tableau13452729313335374951944325[[#This Row],[MONTANT AUTO]]</f>
        <v>#VALUE!</v>
      </c>
      <c r="Q194" s="33"/>
      <c r="R194" s="33"/>
      <c r="S194" s="33"/>
      <c r="T19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94" s="57">
        <f>ABS(Tableau13452729313335374951944325[[#This Row],[MONTANT DEPASSEMENT]]*0.005)</f>
        <v>0</v>
      </c>
      <c r="V194" s="33"/>
      <c r="W194" s="33"/>
      <c r="X194" s="33"/>
      <c r="Y194" s="33"/>
    </row>
    <row r="195" spans="1:25" x14ac:dyDescent="0.25">
      <c r="A195" s="33"/>
      <c r="B195" s="34">
        <v>703</v>
      </c>
      <c r="C195" s="34" t="s">
        <v>453</v>
      </c>
      <c r="D195" s="53" t="s">
        <v>358</v>
      </c>
      <c r="E195" s="53" t="s">
        <v>359</v>
      </c>
      <c r="F195" s="53" t="s">
        <v>199</v>
      </c>
      <c r="G195" s="34" t="s">
        <v>360</v>
      </c>
      <c r="H195" s="34" t="s">
        <v>94</v>
      </c>
      <c r="I195" s="33"/>
      <c r="J195" s="42"/>
      <c r="K195" s="43"/>
      <c r="L195" s="44"/>
      <c r="M19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95" s="38">
        <f>Tableau13452729313335374951944325[[#This Row],[MONTANT OPERATION]]+Tableau13452729313335374951944325[[#This Row],[POS  FUSIONNEE CPTE AVANT OP]]</f>
        <v>0</v>
      </c>
      <c r="O19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95" s="39" t="e">
        <f>Tableau13452729313335374951944325[[#This Row],[DEPASSEMENT TOTAL SUR AUTO
]]/-Tableau13452729313335374951944325[[#This Row],[MONTANT AUTO]]</f>
        <v>#VALUE!</v>
      </c>
      <c r="Q195" s="33"/>
      <c r="R195" s="33"/>
      <c r="S195" s="33"/>
      <c r="T19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95" s="57">
        <f>ABS(Tableau13452729313335374951944325[[#This Row],[MONTANT DEPASSEMENT]]*0.005)</f>
        <v>0</v>
      </c>
      <c r="V195" s="33"/>
      <c r="W195" s="33"/>
      <c r="X195" s="33"/>
      <c r="Y195" s="33"/>
    </row>
    <row r="196" spans="1:25" x14ac:dyDescent="0.25">
      <c r="A196" s="33"/>
      <c r="B196" s="34">
        <v>703</v>
      </c>
      <c r="C196" s="34" t="s">
        <v>453</v>
      </c>
      <c r="D196" s="53" t="s">
        <v>336</v>
      </c>
      <c r="E196" s="53" t="s">
        <v>423</v>
      </c>
      <c r="F196" s="53" t="s">
        <v>175</v>
      </c>
      <c r="G196" s="34" t="s">
        <v>460</v>
      </c>
      <c r="H196" s="34" t="s">
        <v>93</v>
      </c>
      <c r="I196" s="33"/>
      <c r="J196" s="42"/>
      <c r="K196" s="43"/>
      <c r="L196" s="44"/>
      <c r="M19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96" s="38">
        <f>Tableau13452729313335374951944325[[#This Row],[MONTANT OPERATION]]+Tableau13452729313335374951944325[[#This Row],[POS  FUSIONNEE CPTE AVANT OP]]</f>
        <v>0</v>
      </c>
      <c r="O19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96" s="39" t="e">
        <f>Tableau13452729313335374951944325[[#This Row],[DEPASSEMENT TOTAL SUR AUTO
]]/-Tableau13452729313335374951944325[[#This Row],[MONTANT AUTO]]</f>
        <v>#VALUE!</v>
      </c>
      <c r="Q196" s="33"/>
      <c r="R196" s="33"/>
      <c r="S196" s="33"/>
      <c r="T19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96" s="57">
        <f>ABS(Tableau13452729313335374951944325[[#This Row],[MONTANT DEPASSEMENT]]*0.005)</f>
        <v>0</v>
      </c>
      <c r="V196" s="33"/>
      <c r="W196" s="33"/>
      <c r="X196" s="33"/>
      <c r="Y196" s="33"/>
    </row>
    <row r="197" spans="1:25" x14ac:dyDescent="0.25">
      <c r="A197" s="33"/>
      <c r="B197" s="34">
        <v>703</v>
      </c>
      <c r="C197" s="34" t="s">
        <v>453</v>
      </c>
      <c r="D197" s="53" t="s">
        <v>234</v>
      </c>
      <c r="E197" s="53" t="s">
        <v>235</v>
      </c>
      <c r="F197" s="53" t="s">
        <v>202</v>
      </c>
      <c r="G197" s="34" t="s">
        <v>461</v>
      </c>
      <c r="H197" s="34" t="s">
        <v>41</v>
      </c>
      <c r="I197" s="33"/>
      <c r="J197" s="42"/>
      <c r="K197" s="43"/>
      <c r="L197" s="44"/>
      <c r="M19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97" s="38">
        <f>Tableau13452729313335374951944325[[#This Row],[MONTANT OPERATION]]+Tableau13452729313335374951944325[[#This Row],[POS  FUSIONNEE CPTE AVANT OP]]</f>
        <v>0</v>
      </c>
      <c r="O19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97" s="39" t="e">
        <f>Tableau13452729313335374951944325[[#This Row],[DEPASSEMENT TOTAL SUR AUTO
]]/-Tableau13452729313335374951944325[[#This Row],[MONTANT AUTO]]</f>
        <v>#VALUE!</v>
      </c>
      <c r="Q197" s="33"/>
      <c r="R197" s="33"/>
      <c r="S197" s="33"/>
      <c r="T19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97" s="57">
        <f>ABS(Tableau13452729313335374951944325[[#This Row],[MONTANT DEPASSEMENT]]*0.005)</f>
        <v>0</v>
      </c>
      <c r="V197" s="33"/>
      <c r="W197" s="33"/>
      <c r="X197" s="33"/>
      <c r="Y197" s="33"/>
    </row>
    <row r="198" spans="1:25" x14ac:dyDescent="0.25">
      <c r="A198" s="33"/>
      <c r="B198" s="34">
        <v>800</v>
      </c>
      <c r="C198" s="34" t="s">
        <v>444</v>
      </c>
      <c r="D198" s="53" t="s">
        <v>320</v>
      </c>
      <c r="E198" s="53" t="s">
        <v>321</v>
      </c>
      <c r="F198" s="53" t="s">
        <v>259</v>
      </c>
      <c r="G198" s="34" t="s">
        <v>464</v>
      </c>
      <c r="H198" s="34" t="s">
        <v>31</v>
      </c>
      <c r="I198" s="33"/>
      <c r="J198" s="42"/>
      <c r="K198" s="43"/>
      <c r="L198" s="44"/>
      <c r="M19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98" s="38">
        <f>Tableau13452729313335374951944325[[#This Row],[MONTANT OPERATION]]+Tableau13452729313335374951944325[[#This Row],[POS  FUSIONNEE CPTE AVANT OP]]</f>
        <v>0</v>
      </c>
      <c r="O19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98" s="39" t="e">
        <f>Tableau13452729313335374951944325[[#This Row],[DEPASSEMENT TOTAL SUR AUTO
]]/-Tableau13452729313335374951944325[[#This Row],[MONTANT AUTO]]</f>
        <v>#VALUE!</v>
      </c>
      <c r="Q198" s="33"/>
      <c r="R198" s="33"/>
      <c r="S198" s="33"/>
      <c r="T19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98" s="57">
        <f>ABS(Tableau13452729313335374951944325[[#This Row],[MONTANT DEPASSEMENT]]*0.005)</f>
        <v>0</v>
      </c>
      <c r="V198" s="33"/>
      <c r="W198" s="33"/>
      <c r="X198" s="33"/>
      <c r="Y198" s="33"/>
    </row>
    <row r="199" spans="1:25" x14ac:dyDescent="0.25">
      <c r="A199" s="33"/>
      <c r="B199" s="34">
        <v>800</v>
      </c>
      <c r="C199" s="34" t="s">
        <v>444</v>
      </c>
      <c r="D199" s="53" t="s">
        <v>232</v>
      </c>
      <c r="E199" s="53" t="s">
        <v>233</v>
      </c>
      <c r="F199" s="53" t="s">
        <v>152</v>
      </c>
      <c r="G199" s="34" t="s">
        <v>465</v>
      </c>
      <c r="H199" s="34" t="s">
        <v>31</v>
      </c>
      <c r="I199" s="33"/>
      <c r="J199" s="42"/>
      <c r="K199" s="43"/>
      <c r="L199" s="44"/>
      <c r="M19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199" s="38">
        <f>Tableau13452729313335374951944325[[#This Row],[MONTANT OPERATION]]+Tableau13452729313335374951944325[[#This Row],[POS  FUSIONNEE CPTE AVANT OP]]</f>
        <v>0</v>
      </c>
      <c r="O19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199" s="39" t="e">
        <f>Tableau13452729313335374951944325[[#This Row],[DEPASSEMENT TOTAL SUR AUTO
]]/-Tableau13452729313335374951944325[[#This Row],[MONTANT AUTO]]</f>
        <v>#VALUE!</v>
      </c>
      <c r="Q199" s="33"/>
      <c r="R199" s="33"/>
      <c r="S199" s="33"/>
      <c r="T19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199" s="57">
        <f>ABS(Tableau13452729313335374951944325[[#This Row],[MONTANT DEPASSEMENT]]*0.005)</f>
        <v>0</v>
      </c>
      <c r="V199" s="33"/>
      <c r="W199" s="33"/>
      <c r="X199" s="33"/>
      <c r="Y199" s="33"/>
    </row>
    <row r="200" spans="1:25" x14ac:dyDescent="0.25">
      <c r="A200" s="33"/>
      <c r="B200" s="34">
        <v>803</v>
      </c>
      <c r="C200" s="34" t="s">
        <v>447</v>
      </c>
      <c r="D200" s="53" t="s">
        <v>33</v>
      </c>
      <c r="E200" s="53" t="s">
        <v>34</v>
      </c>
      <c r="F200" s="53" t="s">
        <v>230</v>
      </c>
      <c r="G200" s="34" t="s">
        <v>466</v>
      </c>
      <c r="H200" s="34" t="s">
        <v>31</v>
      </c>
      <c r="I200" s="33"/>
      <c r="J200" s="42"/>
      <c r="K200" s="43"/>
      <c r="L200" s="44"/>
      <c r="M20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00" s="38">
        <f>Tableau13452729313335374951944325[[#This Row],[MONTANT OPERATION]]+Tableau13452729313335374951944325[[#This Row],[POS  FUSIONNEE CPTE AVANT OP]]</f>
        <v>0</v>
      </c>
      <c r="O20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00" s="39" t="e">
        <f>Tableau13452729313335374951944325[[#This Row],[DEPASSEMENT TOTAL SUR AUTO
]]/-Tableau13452729313335374951944325[[#This Row],[MONTANT AUTO]]</f>
        <v>#VALUE!</v>
      </c>
      <c r="Q200" s="33"/>
      <c r="R200" s="33"/>
      <c r="S200" s="33"/>
      <c r="T20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00" s="57">
        <f>ABS(Tableau13452729313335374951944325[[#This Row],[MONTANT DEPASSEMENT]]*0.005)</f>
        <v>0</v>
      </c>
      <c r="V200" s="33"/>
      <c r="W200" s="33"/>
      <c r="X200" s="33"/>
      <c r="Y200" s="33"/>
    </row>
    <row r="201" spans="1:25" x14ac:dyDescent="0.25">
      <c r="A201" s="33"/>
      <c r="B201" s="34">
        <v>703</v>
      </c>
      <c r="C201" s="34" t="s">
        <v>453</v>
      </c>
      <c r="D201" s="53" t="s">
        <v>339</v>
      </c>
      <c r="E201" s="53" t="s">
        <v>340</v>
      </c>
      <c r="F201" s="53" t="s">
        <v>49</v>
      </c>
      <c r="G201" s="34" t="s">
        <v>467</v>
      </c>
      <c r="H201" s="34" t="s">
        <v>41</v>
      </c>
      <c r="I201" s="33"/>
      <c r="J201" s="42"/>
      <c r="K201" s="43"/>
      <c r="L201" s="44"/>
      <c r="M20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01" s="38">
        <f>Tableau13452729313335374951944325[[#This Row],[MONTANT OPERATION]]+Tableau13452729313335374951944325[[#This Row],[POS  FUSIONNEE CPTE AVANT OP]]</f>
        <v>0</v>
      </c>
      <c r="O20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01" s="39" t="e">
        <f>Tableau13452729313335374951944325[[#This Row],[DEPASSEMENT TOTAL SUR AUTO
]]/-Tableau13452729313335374951944325[[#This Row],[MONTANT AUTO]]</f>
        <v>#VALUE!</v>
      </c>
      <c r="Q201" s="33"/>
      <c r="R201" s="33"/>
      <c r="S201" s="33"/>
      <c r="T20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01" s="57">
        <f>ABS(Tableau13452729313335374951944325[[#This Row],[MONTANT DEPASSEMENT]]*0.005)</f>
        <v>0</v>
      </c>
      <c r="V201" s="33"/>
      <c r="W201" s="33"/>
      <c r="X201" s="33"/>
      <c r="Y201" s="33"/>
    </row>
    <row r="202" spans="1:25" x14ac:dyDescent="0.25">
      <c r="A202" s="33"/>
      <c r="B202" s="34">
        <v>807</v>
      </c>
      <c r="C202" s="34" t="s">
        <v>442</v>
      </c>
      <c r="D202" s="53" t="s">
        <v>155</v>
      </c>
      <c r="E202" s="53" t="s">
        <v>156</v>
      </c>
      <c r="F202" s="53" t="s">
        <v>108</v>
      </c>
      <c r="G202" s="34" t="s">
        <v>468</v>
      </c>
      <c r="H202" s="34" t="s">
        <v>31</v>
      </c>
      <c r="I202" s="33"/>
      <c r="J202" s="42"/>
      <c r="K202" s="43"/>
      <c r="L202" s="44"/>
      <c r="M20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02" s="38">
        <f>Tableau13452729313335374951944325[[#This Row],[MONTANT OPERATION]]+Tableau13452729313335374951944325[[#This Row],[POS  FUSIONNEE CPTE AVANT OP]]</f>
        <v>0</v>
      </c>
      <c r="O20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02" s="39" t="e">
        <f>Tableau13452729313335374951944325[[#This Row],[DEPASSEMENT TOTAL SUR AUTO
]]/-Tableau13452729313335374951944325[[#This Row],[MONTANT AUTO]]</f>
        <v>#VALUE!</v>
      </c>
      <c r="Q202" s="33"/>
      <c r="R202" s="33"/>
      <c r="S202" s="33"/>
      <c r="T20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02" s="57">
        <f>ABS(Tableau13452729313335374951944325[[#This Row],[MONTANT DEPASSEMENT]]*0.005)</f>
        <v>0</v>
      </c>
      <c r="V202" s="33"/>
      <c r="W202" s="33"/>
      <c r="X202" s="33"/>
      <c r="Y202" s="33"/>
    </row>
    <row r="203" spans="1:25" x14ac:dyDescent="0.25">
      <c r="A203" s="33"/>
      <c r="B203" s="34">
        <v>703</v>
      </c>
      <c r="C203" s="34" t="s">
        <v>453</v>
      </c>
      <c r="D203" s="53" t="s">
        <v>469</v>
      </c>
      <c r="E203" s="53" t="s">
        <v>470</v>
      </c>
      <c r="F203" s="53" t="s">
        <v>304</v>
      </c>
      <c r="G203" s="34" t="s">
        <v>471</v>
      </c>
      <c r="H203" s="34" t="s">
        <v>271</v>
      </c>
      <c r="I203" s="33"/>
      <c r="J203" s="42"/>
      <c r="K203" s="43"/>
      <c r="L203" s="44"/>
      <c r="M20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03" s="38">
        <f>Tableau13452729313335374951944325[[#This Row],[MONTANT OPERATION]]+Tableau13452729313335374951944325[[#This Row],[POS  FUSIONNEE CPTE AVANT OP]]</f>
        <v>0</v>
      </c>
      <c r="O20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03" s="39" t="e">
        <f>Tableau13452729313335374951944325[[#This Row],[DEPASSEMENT TOTAL SUR AUTO
]]/-Tableau13452729313335374951944325[[#This Row],[MONTANT AUTO]]</f>
        <v>#VALUE!</v>
      </c>
      <c r="Q203" s="33"/>
      <c r="R203" s="33"/>
      <c r="S203" s="33"/>
      <c r="T20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03" s="57">
        <f>ABS(Tableau13452729313335374951944325[[#This Row],[MONTANT DEPASSEMENT]]*0.005)</f>
        <v>0</v>
      </c>
      <c r="V203" s="33"/>
      <c r="W203" s="33"/>
      <c r="X203" s="33"/>
      <c r="Y203" s="33"/>
    </row>
    <row r="204" spans="1:25" x14ac:dyDescent="0.25">
      <c r="A204" s="33"/>
      <c r="B204" s="34">
        <v>703</v>
      </c>
      <c r="C204" s="34" t="s">
        <v>453</v>
      </c>
      <c r="D204" s="53" t="s">
        <v>269</v>
      </c>
      <c r="E204" s="53" t="s">
        <v>270</v>
      </c>
      <c r="F204" s="53" t="s">
        <v>205</v>
      </c>
      <c r="G204" s="34" t="s">
        <v>472</v>
      </c>
      <c r="H204" s="34" t="s">
        <v>271</v>
      </c>
      <c r="I204" s="33"/>
      <c r="J204" s="42"/>
      <c r="K204" s="43"/>
      <c r="L204" s="44"/>
      <c r="M20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04" s="38">
        <f>Tableau13452729313335374951944325[[#This Row],[MONTANT OPERATION]]+Tableau13452729313335374951944325[[#This Row],[POS  FUSIONNEE CPTE AVANT OP]]</f>
        <v>0</v>
      </c>
      <c r="O20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04" s="39" t="e">
        <f>Tableau13452729313335374951944325[[#This Row],[DEPASSEMENT TOTAL SUR AUTO
]]/-Tableau13452729313335374951944325[[#This Row],[MONTANT AUTO]]</f>
        <v>#VALUE!</v>
      </c>
      <c r="Q204" s="33"/>
      <c r="R204" s="33"/>
      <c r="S204" s="33"/>
      <c r="T20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04" s="57">
        <f>ABS(Tableau13452729313335374951944325[[#This Row],[MONTANT DEPASSEMENT]]*0.005)</f>
        <v>0</v>
      </c>
      <c r="V204" s="33"/>
      <c r="W204" s="33"/>
      <c r="X204" s="33"/>
      <c r="Y204" s="33"/>
    </row>
    <row r="205" spans="1:25" x14ac:dyDescent="0.25">
      <c r="A205" s="33"/>
      <c r="B205" s="34">
        <v>703</v>
      </c>
      <c r="C205" s="34" t="s">
        <v>453</v>
      </c>
      <c r="D205" s="53" t="s">
        <v>364</v>
      </c>
      <c r="E205" s="53" t="s">
        <v>365</v>
      </c>
      <c r="F205" s="53" t="s">
        <v>230</v>
      </c>
      <c r="G205" s="34" t="s">
        <v>473</v>
      </c>
      <c r="H205" s="34" t="s">
        <v>41</v>
      </c>
      <c r="I205" s="33"/>
      <c r="J205" s="42"/>
      <c r="K205" s="43"/>
      <c r="L205" s="44"/>
      <c r="M20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05" s="38">
        <f>Tableau13452729313335374951944325[[#This Row],[MONTANT OPERATION]]+Tableau13452729313335374951944325[[#This Row],[POS  FUSIONNEE CPTE AVANT OP]]</f>
        <v>0</v>
      </c>
      <c r="O20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05" s="39" t="e">
        <f>Tableau13452729313335374951944325[[#This Row],[DEPASSEMENT TOTAL SUR AUTO
]]/-Tableau13452729313335374951944325[[#This Row],[MONTANT AUTO]]</f>
        <v>#VALUE!</v>
      </c>
      <c r="Q205" s="33"/>
      <c r="R205" s="33"/>
      <c r="S205" s="33"/>
      <c r="T20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05" s="57">
        <f>ABS(Tableau13452729313335374951944325[[#This Row],[MONTANT DEPASSEMENT]]*0.005)</f>
        <v>0</v>
      </c>
      <c r="V205" s="33"/>
      <c r="W205" s="33"/>
      <c r="X205" s="33"/>
      <c r="Y205" s="33"/>
    </row>
    <row r="206" spans="1:25" x14ac:dyDescent="0.25">
      <c r="A206" s="33"/>
      <c r="B206" s="34">
        <v>705</v>
      </c>
      <c r="C206" s="34" t="s">
        <v>429</v>
      </c>
      <c r="D206" s="53" t="s">
        <v>159</v>
      </c>
      <c r="E206" s="53" t="s">
        <v>412</v>
      </c>
      <c r="F206" s="53" t="s">
        <v>49</v>
      </c>
      <c r="G206" s="34" t="s">
        <v>474</v>
      </c>
      <c r="H206" s="34" t="s">
        <v>47</v>
      </c>
      <c r="I206" s="33"/>
      <c r="J206" s="42"/>
      <c r="K206" s="43"/>
      <c r="L206" s="44"/>
      <c r="M20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06" s="38">
        <f>Tableau13452729313335374951944325[[#This Row],[MONTANT OPERATION]]+Tableau13452729313335374951944325[[#This Row],[POS  FUSIONNEE CPTE AVANT OP]]</f>
        <v>0</v>
      </c>
      <c r="O20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06" s="39" t="e">
        <f>Tableau13452729313335374951944325[[#This Row],[DEPASSEMENT TOTAL SUR AUTO
]]/-Tableau13452729313335374951944325[[#This Row],[MONTANT AUTO]]</f>
        <v>#VALUE!</v>
      </c>
      <c r="Q206" s="33"/>
      <c r="R206" s="33"/>
      <c r="S206" s="33"/>
      <c r="T20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06" s="57">
        <f>ABS(Tableau13452729313335374951944325[[#This Row],[MONTANT DEPASSEMENT]]*0.005)</f>
        <v>0</v>
      </c>
      <c r="V206" s="33"/>
      <c r="W206" s="33"/>
      <c r="X206" s="33"/>
      <c r="Y206" s="33"/>
    </row>
    <row r="207" spans="1:25" x14ac:dyDescent="0.25">
      <c r="A207" s="33"/>
      <c r="B207" s="34">
        <v>705</v>
      </c>
      <c r="C207" s="34" t="s">
        <v>429</v>
      </c>
      <c r="D207" s="53" t="s">
        <v>475</v>
      </c>
      <c r="E207" s="53" t="s">
        <v>476</v>
      </c>
      <c r="F207" s="53" t="s">
        <v>349</v>
      </c>
      <c r="G207" s="34" t="s">
        <v>477</v>
      </c>
      <c r="H207" s="34" t="s">
        <v>31</v>
      </c>
      <c r="I207" s="33"/>
      <c r="J207" s="42"/>
      <c r="K207" s="43"/>
      <c r="L207" s="44"/>
      <c r="M20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07" s="38">
        <f>Tableau13452729313335374951944325[[#This Row],[MONTANT OPERATION]]+Tableau13452729313335374951944325[[#This Row],[POS  FUSIONNEE CPTE AVANT OP]]</f>
        <v>0</v>
      </c>
      <c r="O20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07" s="39" t="e">
        <f>Tableau13452729313335374951944325[[#This Row],[DEPASSEMENT TOTAL SUR AUTO
]]/-Tableau13452729313335374951944325[[#This Row],[MONTANT AUTO]]</f>
        <v>#VALUE!</v>
      </c>
      <c r="Q207" s="33"/>
      <c r="R207" s="33"/>
      <c r="S207" s="33"/>
      <c r="T20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07" s="57">
        <f>ABS(Tableau13452729313335374951944325[[#This Row],[MONTANT DEPASSEMENT]]*0.005)</f>
        <v>0</v>
      </c>
      <c r="V207" s="33"/>
      <c r="W207" s="33"/>
      <c r="X207" s="33"/>
      <c r="Y207" s="33"/>
    </row>
    <row r="208" spans="1:25" x14ac:dyDescent="0.25">
      <c r="A208" s="33"/>
      <c r="B208" s="34">
        <v>705</v>
      </c>
      <c r="C208" s="34" t="s">
        <v>429</v>
      </c>
      <c r="D208" s="53" t="s">
        <v>380</v>
      </c>
      <c r="E208" s="53" t="s">
        <v>478</v>
      </c>
      <c r="F208" s="53" t="s">
        <v>349</v>
      </c>
      <c r="G208" s="34" t="s">
        <v>479</v>
      </c>
      <c r="H208" s="34" t="s">
        <v>94</v>
      </c>
      <c r="I208" s="33"/>
      <c r="J208" s="42"/>
      <c r="K208" s="43"/>
      <c r="L208" s="44"/>
      <c r="M20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08" s="38">
        <f>Tableau13452729313335374951944325[[#This Row],[MONTANT OPERATION]]+Tableau13452729313335374951944325[[#This Row],[POS  FUSIONNEE CPTE AVANT OP]]</f>
        <v>0</v>
      </c>
      <c r="O20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08" s="39" t="e">
        <f>Tableau13452729313335374951944325[[#This Row],[DEPASSEMENT TOTAL SUR AUTO
]]/-Tableau13452729313335374951944325[[#This Row],[MONTANT AUTO]]</f>
        <v>#VALUE!</v>
      </c>
      <c r="Q208" s="33"/>
      <c r="R208" s="33"/>
      <c r="S208" s="33"/>
      <c r="T20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08" s="57">
        <f>ABS(Tableau13452729313335374951944325[[#This Row],[MONTANT DEPASSEMENT]]*0.005)</f>
        <v>0</v>
      </c>
      <c r="V208" s="33"/>
      <c r="W208" s="33"/>
      <c r="X208" s="33"/>
      <c r="Y208" s="33"/>
    </row>
    <row r="209" spans="1:25" x14ac:dyDescent="0.25">
      <c r="A209" s="33"/>
      <c r="B209" s="34">
        <v>705</v>
      </c>
      <c r="C209" s="34" t="s">
        <v>429</v>
      </c>
      <c r="D209" s="53" t="s">
        <v>103</v>
      </c>
      <c r="E209" s="53" t="s">
        <v>104</v>
      </c>
      <c r="F209" s="53" t="s">
        <v>105</v>
      </c>
      <c r="G209" s="34" t="s">
        <v>480</v>
      </c>
      <c r="H209" s="34" t="s">
        <v>94</v>
      </c>
      <c r="I209" s="33"/>
      <c r="J209" s="42"/>
      <c r="K209" s="43"/>
      <c r="L209" s="44"/>
      <c r="M20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09" s="38">
        <f>Tableau13452729313335374951944325[[#This Row],[MONTANT OPERATION]]+Tableau13452729313335374951944325[[#This Row],[POS  FUSIONNEE CPTE AVANT OP]]</f>
        <v>0</v>
      </c>
      <c r="O20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09" s="39" t="e">
        <f>Tableau13452729313335374951944325[[#This Row],[DEPASSEMENT TOTAL SUR AUTO
]]/-Tableau13452729313335374951944325[[#This Row],[MONTANT AUTO]]</f>
        <v>#VALUE!</v>
      </c>
      <c r="Q209" s="33"/>
      <c r="R209" s="33"/>
      <c r="S209" s="33"/>
      <c r="T20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09" s="57">
        <f>ABS(Tableau13452729313335374951944325[[#This Row],[MONTANT DEPASSEMENT]]*0.005)</f>
        <v>0</v>
      </c>
      <c r="V209" s="33"/>
      <c r="W209" s="33"/>
      <c r="X209" s="33"/>
      <c r="Y209" s="33"/>
    </row>
    <row r="210" spans="1:25" x14ac:dyDescent="0.25">
      <c r="A210" s="33"/>
      <c r="B210" s="34">
        <v>705</v>
      </c>
      <c r="C210" s="34" t="s">
        <v>429</v>
      </c>
      <c r="D210" s="53" t="s">
        <v>161</v>
      </c>
      <c r="E210" s="53" t="s">
        <v>255</v>
      </c>
      <c r="F210" s="53" t="s">
        <v>256</v>
      </c>
      <c r="G210" s="34" t="s">
        <v>434</v>
      </c>
      <c r="H210" s="34" t="s">
        <v>162</v>
      </c>
      <c r="I210" s="33"/>
      <c r="J210" s="42"/>
      <c r="K210" s="43"/>
      <c r="L210" s="44"/>
      <c r="M21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10" s="38">
        <f>Tableau13452729313335374951944325[[#This Row],[MONTANT OPERATION]]+Tableau13452729313335374951944325[[#This Row],[POS  FUSIONNEE CPTE AVANT OP]]</f>
        <v>0</v>
      </c>
      <c r="O21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10" s="39" t="e">
        <f>Tableau13452729313335374951944325[[#This Row],[DEPASSEMENT TOTAL SUR AUTO
]]/-Tableau13452729313335374951944325[[#This Row],[MONTANT AUTO]]</f>
        <v>#VALUE!</v>
      </c>
      <c r="Q210" s="33"/>
      <c r="R210" s="33"/>
      <c r="S210" s="33"/>
      <c r="T21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10" s="57">
        <f>ABS(Tableau13452729313335374951944325[[#This Row],[MONTANT DEPASSEMENT]]*0.005)</f>
        <v>0</v>
      </c>
      <c r="V210" s="33"/>
      <c r="W210" s="33"/>
      <c r="X210" s="33"/>
      <c r="Y210" s="33"/>
    </row>
    <row r="211" spans="1:25" x14ac:dyDescent="0.25">
      <c r="A211" s="33"/>
      <c r="B211" s="34">
        <v>705</v>
      </c>
      <c r="C211" s="34" t="s">
        <v>429</v>
      </c>
      <c r="D211" s="53" t="s">
        <v>90</v>
      </c>
      <c r="E211" s="53" t="s">
        <v>91</v>
      </c>
      <c r="F211" s="53" t="s">
        <v>92</v>
      </c>
      <c r="G211" s="34" t="s">
        <v>481</v>
      </c>
      <c r="H211" s="34" t="s">
        <v>93</v>
      </c>
      <c r="I211" s="33"/>
      <c r="J211" s="42"/>
      <c r="K211" s="43"/>
      <c r="L211" s="44"/>
      <c r="M21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11" s="38">
        <f>Tableau13452729313335374951944325[[#This Row],[MONTANT OPERATION]]+Tableau13452729313335374951944325[[#This Row],[POS  FUSIONNEE CPTE AVANT OP]]</f>
        <v>0</v>
      </c>
      <c r="O21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11" s="39" t="e">
        <f>Tableau13452729313335374951944325[[#This Row],[DEPASSEMENT TOTAL SUR AUTO
]]/-Tableau13452729313335374951944325[[#This Row],[MONTANT AUTO]]</f>
        <v>#VALUE!</v>
      </c>
      <c r="Q211" s="33"/>
      <c r="R211" s="33"/>
      <c r="S211" s="33"/>
      <c r="T21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11" s="57">
        <f>ABS(Tableau13452729313335374951944325[[#This Row],[MONTANT DEPASSEMENT]]*0.005)</f>
        <v>0</v>
      </c>
      <c r="V211" s="33"/>
      <c r="W211" s="33"/>
      <c r="X211" s="33"/>
      <c r="Y211" s="33"/>
    </row>
    <row r="212" spans="1:25" x14ac:dyDescent="0.25">
      <c r="A212" s="33"/>
      <c r="B212" s="34">
        <v>705</v>
      </c>
      <c r="C212" s="34" t="s">
        <v>429</v>
      </c>
      <c r="D212" s="53" t="s">
        <v>236</v>
      </c>
      <c r="E212" s="53" t="s">
        <v>237</v>
      </c>
      <c r="F212" s="53" t="s">
        <v>231</v>
      </c>
      <c r="G212" s="34" t="s">
        <v>482</v>
      </c>
      <c r="H212" s="34" t="s">
        <v>41</v>
      </c>
      <c r="I212" s="33"/>
      <c r="J212" s="42"/>
      <c r="K212" s="43"/>
      <c r="L212" s="44"/>
      <c r="M21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12" s="38">
        <f>Tableau13452729313335374951944325[[#This Row],[MONTANT OPERATION]]+Tableau13452729313335374951944325[[#This Row],[POS  FUSIONNEE CPTE AVANT OP]]</f>
        <v>0</v>
      </c>
      <c r="O21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12" s="39" t="e">
        <f>Tableau13452729313335374951944325[[#This Row],[DEPASSEMENT TOTAL SUR AUTO
]]/-Tableau13452729313335374951944325[[#This Row],[MONTANT AUTO]]</f>
        <v>#VALUE!</v>
      </c>
      <c r="Q212" s="33"/>
      <c r="R212" s="33"/>
      <c r="S212" s="33"/>
      <c r="T21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12" s="57">
        <f>ABS(Tableau13452729313335374951944325[[#This Row],[MONTANT DEPASSEMENT]]*0.005)</f>
        <v>0</v>
      </c>
      <c r="V212" s="33"/>
      <c r="W212" s="33"/>
      <c r="X212" s="33"/>
      <c r="Y212" s="33"/>
    </row>
    <row r="213" spans="1:25" x14ac:dyDescent="0.25">
      <c r="A213" s="33"/>
      <c r="B213" s="34">
        <v>705</v>
      </c>
      <c r="C213" s="34" t="s">
        <v>429</v>
      </c>
      <c r="D213" s="53" t="s">
        <v>483</v>
      </c>
      <c r="E213" s="53" t="s">
        <v>484</v>
      </c>
      <c r="F213" s="53" t="s">
        <v>297</v>
      </c>
      <c r="G213" s="34" t="s">
        <v>485</v>
      </c>
      <c r="H213" s="34" t="s">
        <v>41</v>
      </c>
      <c r="I213" s="33"/>
      <c r="J213" s="42"/>
      <c r="K213" s="43"/>
      <c r="L213" s="44"/>
      <c r="M21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13" s="38">
        <f>Tableau13452729313335374951944325[[#This Row],[MONTANT OPERATION]]+Tableau13452729313335374951944325[[#This Row],[POS  FUSIONNEE CPTE AVANT OP]]</f>
        <v>0</v>
      </c>
      <c r="O21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13" s="39" t="e">
        <f>Tableau13452729313335374951944325[[#This Row],[DEPASSEMENT TOTAL SUR AUTO
]]/-Tableau13452729313335374951944325[[#This Row],[MONTANT AUTO]]</f>
        <v>#VALUE!</v>
      </c>
      <c r="Q213" s="33"/>
      <c r="R213" s="33"/>
      <c r="S213" s="33"/>
      <c r="T21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13" s="57">
        <f>ABS(Tableau13452729313335374951944325[[#This Row],[MONTANT DEPASSEMENT]]*0.005)</f>
        <v>0</v>
      </c>
      <c r="V213" s="33"/>
      <c r="W213" s="33"/>
      <c r="X213" s="33"/>
      <c r="Y213" s="33"/>
    </row>
    <row r="214" spans="1:25" x14ac:dyDescent="0.25">
      <c r="A214" s="33"/>
      <c r="B214" s="34">
        <v>705</v>
      </c>
      <c r="C214" s="34" t="s">
        <v>429</v>
      </c>
      <c r="D214" s="53" t="s">
        <v>486</v>
      </c>
      <c r="E214" s="53" t="s">
        <v>487</v>
      </c>
      <c r="F214" s="53" t="s">
        <v>96</v>
      </c>
      <c r="G214" s="34" t="s">
        <v>488</v>
      </c>
      <c r="H214" s="34" t="s">
        <v>41</v>
      </c>
      <c r="I214" s="33"/>
      <c r="J214" s="42"/>
      <c r="K214" s="43"/>
      <c r="L214" s="44"/>
      <c r="M21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14" s="38">
        <f>Tableau13452729313335374951944325[[#This Row],[MONTANT OPERATION]]+Tableau13452729313335374951944325[[#This Row],[POS  FUSIONNEE CPTE AVANT OP]]</f>
        <v>0</v>
      </c>
      <c r="O21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14" s="39" t="e">
        <f>Tableau13452729313335374951944325[[#This Row],[DEPASSEMENT TOTAL SUR AUTO
]]/-Tableau13452729313335374951944325[[#This Row],[MONTANT AUTO]]</f>
        <v>#VALUE!</v>
      </c>
      <c r="Q214" s="33"/>
      <c r="R214" s="33"/>
      <c r="S214" s="33"/>
      <c r="T21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14" s="57">
        <f>ABS(Tableau13452729313335374951944325[[#This Row],[MONTANT DEPASSEMENT]]*0.005)</f>
        <v>0</v>
      </c>
      <c r="V214" s="33"/>
      <c r="W214" s="33"/>
      <c r="X214" s="33"/>
      <c r="Y214" s="33"/>
    </row>
    <row r="215" spans="1:25" x14ac:dyDescent="0.25">
      <c r="A215" s="33"/>
      <c r="B215" s="34">
        <v>705</v>
      </c>
      <c r="C215" s="34" t="s">
        <v>429</v>
      </c>
      <c r="D215" s="53" t="s">
        <v>38</v>
      </c>
      <c r="E215" s="53" t="s">
        <v>39</v>
      </c>
      <c r="F215" s="53" t="s">
        <v>40</v>
      </c>
      <c r="G215" s="34" t="s">
        <v>489</v>
      </c>
      <c r="H215" s="34" t="s">
        <v>41</v>
      </c>
      <c r="I215" s="33"/>
      <c r="J215" s="42"/>
      <c r="K215" s="43"/>
      <c r="L215" s="44"/>
      <c r="M21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15" s="38">
        <f>Tableau13452729313335374951944325[[#This Row],[MONTANT OPERATION]]+Tableau13452729313335374951944325[[#This Row],[POS  FUSIONNEE CPTE AVANT OP]]</f>
        <v>0</v>
      </c>
      <c r="O21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15" s="39" t="e">
        <f>Tableau13452729313335374951944325[[#This Row],[DEPASSEMENT TOTAL SUR AUTO
]]/-Tableau13452729313335374951944325[[#This Row],[MONTANT AUTO]]</f>
        <v>#VALUE!</v>
      </c>
      <c r="Q215" s="33"/>
      <c r="R215" s="33"/>
      <c r="S215" s="33"/>
      <c r="T21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15" s="57">
        <f>ABS(Tableau13452729313335374951944325[[#This Row],[MONTANT DEPASSEMENT]]*0.005)</f>
        <v>0</v>
      </c>
      <c r="V215" s="33"/>
      <c r="W215" s="33"/>
      <c r="X215" s="33"/>
      <c r="Y215" s="33"/>
    </row>
    <row r="216" spans="1:25" x14ac:dyDescent="0.25">
      <c r="A216" s="33"/>
      <c r="B216" s="34">
        <v>145</v>
      </c>
      <c r="C216" s="34" t="s">
        <v>490</v>
      </c>
      <c r="D216" s="53" t="s">
        <v>299</v>
      </c>
      <c r="E216" s="53" t="s">
        <v>300</v>
      </c>
      <c r="F216" s="53" t="s">
        <v>282</v>
      </c>
      <c r="G216" s="34" t="s">
        <v>491</v>
      </c>
      <c r="H216" s="34" t="s">
        <v>301</v>
      </c>
      <c r="I216" s="33"/>
      <c r="J216" s="42"/>
      <c r="K216" s="43"/>
      <c r="L216" s="44"/>
      <c r="M21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16" s="38">
        <f>Tableau13452729313335374951944325[[#This Row],[MONTANT OPERATION]]+Tableau13452729313335374951944325[[#This Row],[POS  FUSIONNEE CPTE AVANT OP]]</f>
        <v>0</v>
      </c>
      <c r="O21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16" s="39" t="e">
        <f>Tableau13452729313335374951944325[[#This Row],[DEPASSEMENT TOTAL SUR AUTO
]]/-Tableau13452729313335374951944325[[#This Row],[MONTANT AUTO]]</f>
        <v>#VALUE!</v>
      </c>
      <c r="Q216" s="33"/>
      <c r="R216" s="33"/>
      <c r="S216" s="33"/>
      <c r="T21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16" s="57">
        <f>ABS(Tableau13452729313335374951944325[[#This Row],[MONTANT DEPASSEMENT]]*0.005)</f>
        <v>0</v>
      </c>
      <c r="V216" s="33"/>
      <c r="W216" s="33"/>
      <c r="X216" s="33"/>
      <c r="Y216" s="33"/>
    </row>
    <row r="217" spans="1:25" x14ac:dyDescent="0.25">
      <c r="A217" s="33"/>
      <c r="B217" s="34">
        <v>806</v>
      </c>
      <c r="C217" s="34" t="s">
        <v>492</v>
      </c>
      <c r="D217" s="53" t="s">
        <v>150</v>
      </c>
      <c r="E217" s="53" t="s">
        <v>151</v>
      </c>
      <c r="F217" s="53" t="s">
        <v>152</v>
      </c>
      <c r="G217" s="34" t="s">
        <v>493</v>
      </c>
      <c r="H217" s="34" t="s">
        <v>31</v>
      </c>
      <c r="I217" s="33"/>
      <c r="J217" s="42"/>
      <c r="K217" s="43"/>
      <c r="L217" s="44"/>
      <c r="M21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17" s="38">
        <f>Tableau13452729313335374951944325[[#This Row],[MONTANT OPERATION]]+Tableau13452729313335374951944325[[#This Row],[POS  FUSIONNEE CPTE AVANT OP]]</f>
        <v>0</v>
      </c>
      <c r="O21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17" s="39" t="e">
        <f>Tableau13452729313335374951944325[[#This Row],[DEPASSEMENT TOTAL SUR AUTO
]]/-Tableau13452729313335374951944325[[#This Row],[MONTANT AUTO]]</f>
        <v>#VALUE!</v>
      </c>
      <c r="Q217" s="33"/>
      <c r="R217" s="33"/>
      <c r="S217" s="33"/>
      <c r="T21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17" s="57">
        <f>ABS(Tableau13452729313335374951944325[[#This Row],[MONTANT DEPASSEMENT]]*0.005)</f>
        <v>0</v>
      </c>
      <c r="V217" s="33"/>
      <c r="W217" s="33"/>
      <c r="X217" s="33"/>
      <c r="Y217" s="33"/>
    </row>
    <row r="218" spans="1:25" x14ac:dyDescent="0.25">
      <c r="A218" s="33"/>
      <c r="B218" s="34">
        <v>706</v>
      </c>
      <c r="C218" s="34" t="s">
        <v>494</v>
      </c>
      <c r="D218" s="53" t="s">
        <v>495</v>
      </c>
      <c r="E218" s="53" t="s">
        <v>496</v>
      </c>
      <c r="F218" s="53" t="s">
        <v>294</v>
      </c>
      <c r="G218" s="34" t="s">
        <v>497</v>
      </c>
      <c r="H218" s="34" t="s">
        <v>41</v>
      </c>
      <c r="I218" s="33"/>
      <c r="J218" s="42"/>
      <c r="K218" s="43"/>
      <c r="L218" s="44"/>
      <c r="M21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18" s="38">
        <f>Tableau13452729313335374951944325[[#This Row],[MONTANT OPERATION]]+Tableau13452729313335374951944325[[#This Row],[POS  FUSIONNEE CPTE AVANT OP]]</f>
        <v>0</v>
      </c>
      <c r="O21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18" s="39" t="e">
        <f>Tableau13452729313335374951944325[[#This Row],[DEPASSEMENT TOTAL SUR AUTO
]]/-Tableau13452729313335374951944325[[#This Row],[MONTANT AUTO]]</f>
        <v>#VALUE!</v>
      </c>
      <c r="Q218" s="33"/>
      <c r="R218" s="33"/>
      <c r="S218" s="33"/>
      <c r="T21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18" s="57">
        <f>ABS(Tableau13452729313335374951944325[[#This Row],[MONTANT DEPASSEMENT]]*0.005)</f>
        <v>0</v>
      </c>
      <c r="V218" s="33"/>
      <c r="W218" s="33"/>
      <c r="X218" s="33"/>
      <c r="Y218" s="33"/>
    </row>
    <row r="219" spans="1:25" x14ac:dyDescent="0.25">
      <c r="A219" s="33"/>
      <c r="B219" s="34">
        <v>706</v>
      </c>
      <c r="C219" s="34" t="s">
        <v>494</v>
      </c>
      <c r="D219" s="53" t="s">
        <v>498</v>
      </c>
      <c r="E219" s="53" t="s">
        <v>499</v>
      </c>
      <c r="F219" s="53" t="s">
        <v>209</v>
      </c>
      <c r="G219" s="34" t="s">
        <v>500</v>
      </c>
      <c r="H219" s="34" t="s">
        <v>47</v>
      </c>
      <c r="I219" s="33"/>
      <c r="J219" s="42"/>
      <c r="K219" s="43"/>
      <c r="L219" s="44"/>
      <c r="M21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19" s="38">
        <f>Tableau13452729313335374951944325[[#This Row],[MONTANT OPERATION]]+Tableau13452729313335374951944325[[#This Row],[POS  FUSIONNEE CPTE AVANT OP]]</f>
        <v>0</v>
      </c>
      <c r="O21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19" s="39" t="e">
        <f>Tableau13452729313335374951944325[[#This Row],[DEPASSEMENT TOTAL SUR AUTO
]]/-Tableau13452729313335374951944325[[#This Row],[MONTANT AUTO]]</f>
        <v>#VALUE!</v>
      </c>
      <c r="Q219" s="33"/>
      <c r="R219" s="33"/>
      <c r="S219" s="33"/>
      <c r="T21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19" s="57">
        <f>ABS(Tableau13452729313335374951944325[[#This Row],[MONTANT DEPASSEMENT]]*0.005)</f>
        <v>0</v>
      </c>
      <c r="V219" s="33"/>
      <c r="W219" s="33"/>
      <c r="X219" s="33"/>
      <c r="Y219" s="33"/>
    </row>
    <row r="220" spans="1:25" x14ac:dyDescent="0.25">
      <c r="A220" s="33"/>
      <c r="B220" s="34">
        <v>706</v>
      </c>
      <c r="C220" s="34" t="s">
        <v>494</v>
      </c>
      <c r="D220" s="53" t="s">
        <v>389</v>
      </c>
      <c r="E220" s="53" t="s">
        <v>390</v>
      </c>
      <c r="F220" s="53" t="s">
        <v>196</v>
      </c>
      <c r="G220" s="34" t="s">
        <v>501</v>
      </c>
      <c r="H220" s="34" t="s">
        <v>41</v>
      </c>
      <c r="I220" s="33"/>
      <c r="J220" s="42"/>
      <c r="K220" s="43"/>
      <c r="L220" s="44"/>
      <c r="M22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20" s="38">
        <f>Tableau13452729313335374951944325[[#This Row],[MONTANT OPERATION]]+Tableau13452729313335374951944325[[#This Row],[POS  FUSIONNEE CPTE AVANT OP]]</f>
        <v>0</v>
      </c>
      <c r="O22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20" s="39" t="e">
        <f>Tableau13452729313335374951944325[[#This Row],[DEPASSEMENT TOTAL SUR AUTO
]]/-Tableau13452729313335374951944325[[#This Row],[MONTANT AUTO]]</f>
        <v>#VALUE!</v>
      </c>
      <c r="Q220" s="33"/>
      <c r="R220" s="33"/>
      <c r="S220" s="33"/>
      <c r="T22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20" s="57">
        <f>ABS(Tableau13452729313335374951944325[[#This Row],[MONTANT DEPASSEMENT]]*0.005)</f>
        <v>0</v>
      </c>
      <c r="V220" s="33"/>
      <c r="W220" s="33"/>
      <c r="X220" s="33"/>
      <c r="Y220" s="33"/>
    </row>
    <row r="221" spans="1:25" x14ac:dyDescent="0.25">
      <c r="A221" s="33"/>
      <c r="B221" s="34">
        <v>706</v>
      </c>
      <c r="C221" s="34" t="s">
        <v>494</v>
      </c>
      <c r="D221" s="53" t="s">
        <v>378</v>
      </c>
      <c r="E221" s="53" t="s">
        <v>379</v>
      </c>
      <c r="F221" s="53" t="s">
        <v>116</v>
      </c>
      <c r="G221" s="34" t="s">
        <v>502</v>
      </c>
      <c r="H221" s="34" t="s">
        <v>41</v>
      </c>
      <c r="I221" s="33"/>
      <c r="J221" s="42"/>
      <c r="K221" s="43"/>
      <c r="L221" s="44"/>
      <c r="M22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21" s="38">
        <f>Tableau13452729313335374951944325[[#This Row],[MONTANT OPERATION]]+Tableau13452729313335374951944325[[#This Row],[POS  FUSIONNEE CPTE AVANT OP]]</f>
        <v>0</v>
      </c>
      <c r="O22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21" s="39" t="e">
        <f>Tableau13452729313335374951944325[[#This Row],[DEPASSEMENT TOTAL SUR AUTO
]]/-Tableau13452729313335374951944325[[#This Row],[MONTANT AUTO]]</f>
        <v>#VALUE!</v>
      </c>
      <c r="Q221" s="33"/>
      <c r="R221" s="33"/>
      <c r="S221" s="33"/>
      <c r="T22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21" s="57">
        <f>ABS(Tableau13452729313335374951944325[[#This Row],[MONTANT DEPASSEMENT]]*0.005)</f>
        <v>0</v>
      </c>
      <c r="V221" s="33"/>
      <c r="W221" s="33"/>
      <c r="X221" s="33"/>
      <c r="Y221" s="33"/>
    </row>
    <row r="222" spans="1:25" x14ac:dyDescent="0.25">
      <c r="A222" s="33"/>
      <c r="B222" s="34">
        <v>706</v>
      </c>
      <c r="C222" s="34" t="s">
        <v>494</v>
      </c>
      <c r="D222" s="53" t="s">
        <v>503</v>
      </c>
      <c r="E222" s="53" t="s">
        <v>504</v>
      </c>
      <c r="F222" s="53" t="s">
        <v>256</v>
      </c>
      <c r="G222" s="34" t="s">
        <v>505</v>
      </c>
      <c r="H222" s="34" t="s">
        <v>41</v>
      </c>
      <c r="I222" s="33"/>
      <c r="J222" s="42"/>
      <c r="K222" s="43"/>
      <c r="L222" s="44"/>
      <c r="M22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22" s="38">
        <f>Tableau13452729313335374951944325[[#This Row],[MONTANT OPERATION]]+Tableau13452729313335374951944325[[#This Row],[POS  FUSIONNEE CPTE AVANT OP]]</f>
        <v>0</v>
      </c>
      <c r="O22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22" s="39" t="e">
        <f>Tableau13452729313335374951944325[[#This Row],[DEPASSEMENT TOTAL SUR AUTO
]]/-Tableau13452729313335374951944325[[#This Row],[MONTANT AUTO]]</f>
        <v>#VALUE!</v>
      </c>
      <c r="Q222" s="33"/>
      <c r="R222" s="33"/>
      <c r="S222" s="33"/>
      <c r="T22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22" s="57">
        <f>ABS(Tableau13452729313335374951944325[[#This Row],[MONTANT DEPASSEMENT]]*0.005)</f>
        <v>0</v>
      </c>
      <c r="V222" s="33"/>
      <c r="W222" s="33"/>
      <c r="X222" s="33"/>
      <c r="Y222" s="33"/>
    </row>
    <row r="223" spans="1:25" x14ac:dyDescent="0.25">
      <c r="A223" s="33"/>
      <c r="B223" s="34">
        <v>711</v>
      </c>
      <c r="C223" s="34" t="s">
        <v>427</v>
      </c>
      <c r="D223" s="53" t="s">
        <v>110</v>
      </c>
      <c r="E223" s="53" t="s">
        <v>111</v>
      </c>
      <c r="F223" s="53" t="s">
        <v>192</v>
      </c>
      <c r="G223" s="34" t="s">
        <v>506</v>
      </c>
      <c r="H223" s="34" t="s">
        <v>31</v>
      </c>
      <c r="I223" s="33"/>
      <c r="J223" s="42"/>
      <c r="K223" s="43"/>
      <c r="L223" s="44"/>
      <c r="M22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23" s="38">
        <f>Tableau13452729313335374951944325[[#This Row],[MONTANT OPERATION]]+Tableau13452729313335374951944325[[#This Row],[POS  FUSIONNEE CPTE AVANT OP]]</f>
        <v>0</v>
      </c>
      <c r="O22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23" s="39" t="e">
        <f>Tableau13452729313335374951944325[[#This Row],[DEPASSEMENT TOTAL SUR AUTO
]]/-Tableau13452729313335374951944325[[#This Row],[MONTANT AUTO]]</f>
        <v>#VALUE!</v>
      </c>
      <c r="Q223" s="33"/>
      <c r="R223" s="33"/>
      <c r="S223" s="33"/>
      <c r="T22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23" s="57">
        <f>ABS(Tableau13452729313335374951944325[[#This Row],[MONTANT DEPASSEMENT]]*0.005)</f>
        <v>0</v>
      </c>
      <c r="V223" s="33"/>
      <c r="W223" s="33"/>
      <c r="X223" s="33"/>
      <c r="Y223" s="33"/>
    </row>
    <row r="224" spans="1:25" x14ac:dyDescent="0.25">
      <c r="A224" s="33"/>
      <c r="B224" s="34">
        <v>711</v>
      </c>
      <c r="C224" s="34" t="s">
        <v>427</v>
      </c>
      <c r="D224" s="53" t="s">
        <v>171</v>
      </c>
      <c r="E224" s="53" t="s">
        <v>172</v>
      </c>
      <c r="F224" s="53" t="s">
        <v>220</v>
      </c>
      <c r="G224" s="34" t="s">
        <v>173</v>
      </c>
      <c r="H224" s="34" t="s">
        <v>31</v>
      </c>
      <c r="I224" s="33"/>
      <c r="J224" s="42"/>
      <c r="K224" s="43"/>
      <c r="L224" s="44"/>
      <c r="M22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24" s="38">
        <f>Tableau13452729313335374951944325[[#This Row],[MONTANT OPERATION]]+Tableau13452729313335374951944325[[#This Row],[POS  FUSIONNEE CPTE AVANT OP]]</f>
        <v>0</v>
      </c>
      <c r="O22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24" s="39" t="e">
        <f>Tableau13452729313335374951944325[[#This Row],[DEPASSEMENT TOTAL SUR AUTO
]]/-Tableau13452729313335374951944325[[#This Row],[MONTANT AUTO]]</f>
        <v>#VALUE!</v>
      </c>
      <c r="Q224" s="33"/>
      <c r="R224" s="33"/>
      <c r="S224" s="33"/>
      <c r="T22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24" s="57">
        <f>ABS(Tableau13452729313335374951944325[[#This Row],[MONTANT DEPASSEMENT]]*0.005)</f>
        <v>0</v>
      </c>
      <c r="V224" s="33"/>
      <c r="W224" s="33"/>
      <c r="X224" s="33"/>
      <c r="Y224" s="33"/>
    </row>
    <row r="225" spans="1:25" x14ac:dyDescent="0.25">
      <c r="A225" s="33"/>
      <c r="B225" s="34">
        <v>711</v>
      </c>
      <c r="C225" s="34" t="s">
        <v>427</v>
      </c>
      <c r="D225" s="53" t="s">
        <v>165</v>
      </c>
      <c r="E225" s="53" t="s">
        <v>166</v>
      </c>
      <c r="F225" s="53" t="s">
        <v>279</v>
      </c>
      <c r="G225" s="34" t="s">
        <v>507</v>
      </c>
      <c r="H225" s="34" t="s">
        <v>31</v>
      </c>
      <c r="I225" s="33"/>
      <c r="J225" s="42"/>
      <c r="K225" s="43"/>
      <c r="L225" s="44"/>
      <c r="M22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25" s="38">
        <f>Tableau13452729313335374951944325[[#This Row],[MONTANT OPERATION]]+Tableau13452729313335374951944325[[#This Row],[POS  FUSIONNEE CPTE AVANT OP]]</f>
        <v>0</v>
      </c>
      <c r="O22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25" s="39" t="e">
        <f>Tableau13452729313335374951944325[[#This Row],[DEPASSEMENT TOTAL SUR AUTO
]]/-Tableau13452729313335374951944325[[#This Row],[MONTANT AUTO]]</f>
        <v>#VALUE!</v>
      </c>
      <c r="Q225" s="33"/>
      <c r="R225" s="33"/>
      <c r="S225" s="33"/>
      <c r="T22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25" s="57">
        <f>ABS(Tableau13452729313335374951944325[[#This Row],[MONTANT DEPASSEMENT]]*0.005)</f>
        <v>0</v>
      </c>
      <c r="V225" s="33"/>
      <c r="W225" s="33"/>
      <c r="X225" s="33"/>
      <c r="Y225" s="33"/>
    </row>
    <row r="226" spans="1:25" x14ac:dyDescent="0.25">
      <c r="A226" s="33"/>
      <c r="B226" s="34">
        <v>711</v>
      </c>
      <c r="C226" s="34" t="s">
        <v>427</v>
      </c>
      <c r="D226" s="53" t="s">
        <v>178</v>
      </c>
      <c r="E226" s="53" t="s">
        <v>179</v>
      </c>
      <c r="F226" s="53" t="s">
        <v>203</v>
      </c>
      <c r="G226" s="34" t="s">
        <v>508</v>
      </c>
      <c r="H226" s="34" t="s">
        <v>31</v>
      </c>
      <c r="I226" s="33"/>
      <c r="J226" s="42"/>
      <c r="K226" s="43"/>
      <c r="L226" s="44"/>
      <c r="M22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26" s="38">
        <f>Tableau13452729313335374951944325[[#This Row],[MONTANT OPERATION]]+Tableau13452729313335374951944325[[#This Row],[POS  FUSIONNEE CPTE AVANT OP]]</f>
        <v>0</v>
      </c>
      <c r="O22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26" s="39" t="e">
        <f>Tableau13452729313335374951944325[[#This Row],[DEPASSEMENT TOTAL SUR AUTO
]]/-Tableau13452729313335374951944325[[#This Row],[MONTANT AUTO]]</f>
        <v>#VALUE!</v>
      </c>
      <c r="Q226" s="33"/>
      <c r="R226" s="33"/>
      <c r="S226" s="33"/>
      <c r="T22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26" s="57">
        <f>ABS(Tableau13452729313335374951944325[[#This Row],[MONTANT DEPASSEMENT]]*0.005)</f>
        <v>0</v>
      </c>
      <c r="V226" s="33"/>
      <c r="W226" s="33"/>
      <c r="X226" s="33"/>
      <c r="Y226" s="33"/>
    </row>
    <row r="227" spans="1:25" x14ac:dyDescent="0.25">
      <c r="A227" s="33"/>
      <c r="B227" s="34">
        <v>711</v>
      </c>
      <c r="C227" s="34" t="s">
        <v>427</v>
      </c>
      <c r="D227" s="53" t="s">
        <v>310</v>
      </c>
      <c r="E227" s="53" t="s">
        <v>311</v>
      </c>
      <c r="F227" s="53" t="s">
        <v>117</v>
      </c>
      <c r="G227" s="34" t="s">
        <v>509</v>
      </c>
      <c r="H227" s="34" t="s">
        <v>31</v>
      </c>
      <c r="I227" s="33"/>
      <c r="J227" s="42"/>
      <c r="K227" s="43"/>
      <c r="L227" s="44"/>
      <c r="M22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27" s="38">
        <f>Tableau13452729313335374951944325[[#This Row],[MONTANT OPERATION]]+Tableau13452729313335374951944325[[#This Row],[POS  FUSIONNEE CPTE AVANT OP]]</f>
        <v>0</v>
      </c>
      <c r="O22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27" s="39" t="e">
        <f>Tableau13452729313335374951944325[[#This Row],[DEPASSEMENT TOTAL SUR AUTO
]]/-Tableau13452729313335374951944325[[#This Row],[MONTANT AUTO]]</f>
        <v>#VALUE!</v>
      </c>
      <c r="Q227" s="33"/>
      <c r="R227" s="33"/>
      <c r="S227" s="33"/>
      <c r="T22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27" s="57">
        <f>ABS(Tableau13452729313335374951944325[[#This Row],[MONTANT DEPASSEMENT]]*0.005)</f>
        <v>0</v>
      </c>
      <c r="V227" s="33"/>
      <c r="W227" s="33"/>
      <c r="X227" s="33"/>
      <c r="Y227" s="33"/>
    </row>
    <row r="228" spans="1:25" x14ac:dyDescent="0.25">
      <c r="A228" s="33"/>
      <c r="B228" s="34">
        <v>711</v>
      </c>
      <c r="C228" s="34" t="s">
        <v>427</v>
      </c>
      <c r="D228" s="53" t="s">
        <v>295</v>
      </c>
      <c r="E228" s="53" t="s">
        <v>296</v>
      </c>
      <c r="F228" s="53" t="s">
        <v>297</v>
      </c>
      <c r="G228" s="34" t="s">
        <v>510</v>
      </c>
      <c r="H228" s="34" t="s">
        <v>27</v>
      </c>
      <c r="I228" s="33"/>
      <c r="J228" s="42"/>
      <c r="K228" s="43"/>
      <c r="L228" s="44"/>
      <c r="M22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28" s="38">
        <f>Tableau13452729313335374951944325[[#This Row],[MONTANT OPERATION]]+Tableau13452729313335374951944325[[#This Row],[POS  FUSIONNEE CPTE AVANT OP]]</f>
        <v>0</v>
      </c>
      <c r="O22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28" s="39" t="e">
        <f>Tableau13452729313335374951944325[[#This Row],[DEPASSEMENT TOTAL SUR AUTO
]]/-Tableau13452729313335374951944325[[#This Row],[MONTANT AUTO]]</f>
        <v>#VALUE!</v>
      </c>
      <c r="Q228" s="33"/>
      <c r="R228" s="33"/>
      <c r="S228" s="33"/>
      <c r="T22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28" s="57">
        <f>ABS(Tableau13452729313335374951944325[[#This Row],[MONTANT DEPASSEMENT]]*0.005)</f>
        <v>0</v>
      </c>
      <c r="V228" s="33"/>
      <c r="W228" s="33"/>
      <c r="X228" s="33"/>
      <c r="Y228" s="33"/>
    </row>
    <row r="229" spans="1:25" x14ac:dyDescent="0.25">
      <c r="A229" s="33"/>
      <c r="B229" s="34">
        <v>711</v>
      </c>
      <c r="C229" s="34" t="s">
        <v>427</v>
      </c>
      <c r="D229" s="53" t="s">
        <v>260</v>
      </c>
      <c r="E229" s="53" t="s">
        <v>261</v>
      </c>
      <c r="F229" s="53" t="s">
        <v>262</v>
      </c>
      <c r="G229" s="34" t="s">
        <v>511</v>
      </c>
      <c r="H229" s="34" t="s">
        <v>27</v>
      </c>
      <c r="I229" s="33"/>
      <c r="J229" s="42"/>
      <c r="K229" s="43"/>
      <c r="L229" s="44"/>
      <c r="M22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29" s="38">
        <f>Tableau13452729313335374951944325[[#This Row],[MONTANT OPERATION]]+Tableau13452729313335374951944325[[#This Row],[POS  FUSIONNEE CPTE AVANT OP]]</f>
        <v>0</v>
      </c>
      <c r="O22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29" s="39" t="e">
        <f>Tableau13452729313335374951944325[[#This Row],[DEPASSEMENT TOTAL SUR AUTO
]]/-Tableau13452729313335374951944325[[#This Row],[MONTANT AUTO]]</f>
        <v>#VALUE!</v>
      </c>
      <c r="Q229" s="33"/>
      <c r="R229" s="33"/>
      <c r="S229" s="33"/>
      <c r="T22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29" s="57">
        <f>ABS(Tableau13452729313335374951944325[[#This Row],[MONTANT DEPASSEMENT]]*0.005)</f>
        <v>0</v>
      </c>
      <c r="V229" s="33"/>
      <c r="W229" s="33"/>
      <c r="X229" s="33"/>
      <c r="Y229" s="33"/>
    </row>
    <row r="230" spans="1:25" x14ac:dyDescent="0.25">
      <c r="A230" s="33"/>
      <c r="B230" s="34">
        <v>715</v>
      </c>
      <c r="C230" s="34" t="s">
        <v>439</v>
      </c>
      <c r="D230" s="53" t="s">
        <v>263</v>
      </c>
      <c r="E230" s="53" t="s">
        <v>264</v>
      </c>
      <c r="F230" s="53" t="s">
        <v>265</v>
      </c>
      <c r="G230" s="34" t="s">
        <v>512</v>
      </c>
      <c r="H230" s="34" t="s">
        <v>31</v>
      </c>
      <c r="I230" s="33"/>
      <c r="J230" s="42"/>
      <c r="K230" s="43"/>
      <c r="L230" s="44"/>
      <c r="M23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30" s="38">
        <f>Tableau13452729313335374951944325[[#This Row],[MONTANT OPERATION]]+Tableau13452729313335374951944325[[#This Row],[POS  FUSIONNEE CPTE AVANT OP]]</f>
        <v>0</v>
      </c>
      <c r="O23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30" s="39" t="e">
        <f>Tableau13452729313335374951944325[[#This Row],[DEPASSEMENT TOTAL SUR AUTO
]]/-Tableau13452729313335374951944325[[#This Row],[MONTANT AUTO]]</f>
        <v>#VALUE!</v>
      </c>
      <c r="Q230" s="33"/>
      <c r="R230" s="33"/>
      <c r="S230" s="33"/>
      <c r="T23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30" s="57">
        <f>ABS(Tableau13452729313335374951944325[[#This Row],[MONTANT DEPASSEMENT]]*0.005)</f>
        <v>0</v>
      </c>
      <c r="V230" s="33"/>
      <c r="W230" s="33"/>
      <c r="X230" s="33"/>
      <c r="Y230" s="33"/>
    </row>
    <row r="231" spans="1:25" x14ac:dyDescent="0.25">
      <c r="A231" s="33"/>
      <c r="B231" s="34">
        <v>718</v>
      </c>
      <c r="C231" s="34" t="s">
        <v>462</v>
      </c>
      <c r="D231" s="53" t="s">
        <v>65</v>
      </c>
      <c r="E231" s="53" t="s">
        <v>66</v>
      </c>
      <c r="F231" s="53" t="s">
        <v>192</v>
      </c>
      <c r="G231" s="34" t="s">
        <v>513</v>
      </c>
      <c r="H231" s="34" t="s">
        <v>31</v>
      </c>
      <c r="I231" s="33"/>
      <c r="J231" s="42"/>
      <c r="K231" s="43"/>
      <c r="L231" s="44"/>
      <c r="M23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31" s="38">
        <f>Tableau13452729313335374951944325[[#This Row],[MONTANT OPERATION]]+Tableau13452729313335374951944325[[#This Row],[POS  FUSIONNEE CPTE AVANT OP]]</f>
        <v>0</v>
      </c>
      <c r="O23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31" s="39" t="e">
        <f>Tableau13452729313335374951944325[[#This Row],[DEPASSEMENT TOTAL SUR AUTO
]]/-Tableau13452729313335374951944325[[#This Row],[MONTANT AUTO]]</f>
        <v>#VALUE!</v>
      </c>
      <c r="Q231" s="33"/>
      <c r="R231" s="33"/>
      <c r="S231" s="33"/>
      <c r="T23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31" s="57">
        <f>ABS(Tableau13452729313335374951944325[[#This Row],[MONTANT DEPASSEMENT]]*0.005)</f>
        <v>0</v>
      </c>
      <c r="V231" s="33"/>
      <c r="W231" s="33"/>
      <c r="X231" s="33"/>
      <c r="Y231" s="33"/>
    </row>
    <row r="232" spans="1:25" x14ac:dyDescent="0.25">
      <c r="A232" s="33"/>
      <c r="B232" s="34">
        <v>806</v>
      </c>
      <c r="C232" s="34" t="s">
        <v>492</v>
      </c>
      <c r="D232" s="53" t="s">
        <v>206</v>
      </c>
      <c r="E232" s="53" t="s">
        <v>207</v>
      </c>
      <c r="F232" s="53" t="s">
        <v>77</v>
      </c>
      <c r="G232" s="34" t="s">
        <v>514</v>
      </c>
      <c r="H232" s="34" t="s">
        <v>31</v>
      </c>
      <c r="I232" s="33"/>
      <c r="J232" s="42"/>
      <c r="K232" s="43"/>
      <c r="L232" s="44"/>
      <c r="M23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32" s="38">
        <f>Tableau13452729313335374951944325[[#This Row],[MONTANT OPERATION]]+Tableau13452729313335374951944325[[#This Row],[POS  FUSIONNEE CPTE AVANT OP]]</f>
        <v>0</v>
      </c>
      <c r="O23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32" s="39" t="e">
        <f>Tableau13452729313335374951944325[[#This Row],[DEPASSEMENT TOTAL SUR AUTO
]]/-Tableau13452729313335374951944325[[#This Row],[MONTANT AUTO]]</f>
        <v>#VALUE!</v>
      </c>
      <c r="Q232" s="33"/>
      <c r="R232" s="33"/>
      <c r="S232" s="33"/>
      <c r="T23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32" s="57">
        <f>ABS(Tableau13452729313335374951944325[[#This Row],[MONTANT DEPASSEMENT]]*0.005)</f>
        <v>0</v>
      </c>
      <c r="V232" s="33"/>
      <c r="W232" s="33"/>
      <c r="X232" s="33"/>
      <c r="Y232" s="33"/>
    </row>
    <row r="233" spans="1:25" x14ac:dyDescent="0.25">
      <c r="A233" s="33"/>
      <c r="B233" s="34">
        <v>711</v>
      </c>
      <c r="C233" s="34" t="s">
        <v>427</v>
      </c>
      <c r="D233" s="53" t="s">
        <v>515</v>
      </c>
      <c r="E233" s="53" t="s">
        <v>516</v>
      </c>
      <c r="F233" s="53" t="s">
        <v>327</v>
      </c>
      <c r="G233" s="34" t="s">
        <v>517</v>
      </c>
      <c r="H233" s="34" t="s">
        <v>27</v>
      </c>
      <c r="I233" s="33"/>
      <c r="J233" s="42"/>
      <c r="K233" s="43"/>
      <c r="L233" s="44"/>
      <c r="M23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33" s="38">
        <f>Tableau13452729313335374951944325[[#This Row],[MONTANT OPERATION]]+Tableau13452729313335374951944325[[#This Row],[POS  FUSIONNEE CPTE AVANT OP]]</f>
        <v>0</v>
      </c>
      <c r="O23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33" s="39" t="e">
        <f>Tableau13452729313335374951944325[[#This Row],[DEPASSEMENT TOTAL SUR AUTO
]]/-Tableau13452729313335374951944325[[#This Row],[MONTANT AUTO]]</f>
        <v>#VALUE!</v>
      </c>
      <c r="Q233" s="33"/>
      <c r="R233" s="33"/>
      <c r="S233" s="33"/>
      <c r="T23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33" s="57">
        <f>ABS(Tableau13452729313335374951944325[[#This Row],[MONTANT DEPASSEMENT]]*0.005)</f>
        <v>0</v>
      </c>
      <c r="V233" s="33"/>
      <c r="W233" s="33"/>
      <c r="X233" s="33"/>
      <c r="Y233" s="33"/>
    </row>
    <row r="234" spans="1:25" x14ac:dyDescent="0.25">
      <c r="A234" s="33"/>
      <c r="B234" s="34">
        <v>711</v>
      </c>
      <c r="C234" s="34" t="s">
        <v>427</v>
      </c>
      <c r="D234" s="53" t="s">
        <v>106</v>
      </c>
      <c r="E234" s="53" t="s">
        <v>107</v>
      </c>
      <c r="F234" s="53" t="s">
        <v>108</v>
      </c>
      <c r="G234" s="34" t="s">
        <v>518</v>
      </c>
      <c r="H234" s="34" t="s">
        <v>27</v>
      </c>
      <c r="I234" s="33"/>
      <c r="J234" s="42"/>
      <c r="K234" s="43"/>
      <c r="L234" s="44"/>
      <c r="M23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34" s="38">
        <f>Tableau13452729313335374951944325[[#This Row],[MONTANT OPERATION]]+Tableau13452729313335374951944325[[#This Row],[POS  FUSIONNEE CPTE AVANT OP]]</f>
        <v>0</v>
      </c>
      <c r="O23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34" s="39" t="e">
        <f>Tableau13452729313335374951944325[[#This Row],[DEPASSEMENT TOTAL SUR AUTO
]]/-Tableau13452729313335374951944325[[#This Row],[MONTANT AUTO]]</f>
        <v>#VALUE!</v>
      </c>
      <c r="Q234" s="33"/>
      <c r="R234" s="33"/>
      <c r="S234" s="33"/>
      <c r="T23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34" s="57">
        <f>ABS(Tableau13452729313335374951944325[[#This Row],[MONTANT DEPASSEMENT]]*0.005)</f>
        <v>0</v>
      </c>
      <c r="V234" s="33"/>
      <c r="W234" s="33"/>
      <c r="X234" s="33"/>
      <c r="Y234" s="33"/>
    </row>
    <row r="235" spans="1:25" x14ac:dyDescent="0.25">
      <c r="A235" s="33"/>
      <c r="B235" s="34">
        <v>711</v>
      </c>
      <c r="C235" s="34" t="s">
        <v>427</v>
      </c>
      <c r="D235" s="53" t="s">
        <v>404</v>
      </c>
      <c r="E235" s="53" t="s">
        <v>405</v>
      </c>
      <c r="F235" s="53" t="s">
        <v>202</v>
      </c>
      <c r="G235" s="34" t="s">
        <v>519</v>
      </c>
      <c r="H235" s="34" t="s">
        <v>27</v>
      </c>
      <c r="I235" s="33"/>
      <c r="J235" s="42"/>
      <c r="K235" s="43"/>
      <c r="L235" s="44"/>
      <c r="M23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35" s="38">
        <f>Tableau13452729313335374951944325[[#This Row],[MONTANT OPERATION]]+Tableau13452729313335374951944325[[#This Row],[POS  FUSIONNEE CPTE AVANT OP]]</f>
        <v>0</v>
      </c>
      <c r="O23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35" s="39" t="e">
        <f>Tableau13452729313335374951944325[[#This Row],[DEPASSEMENT TOTAL SUR AUTO
]]/-Tableau13452729313335374951944325[[#This Row],[MONTANT AUTO]]</f>
        <v>#VALUE!</v>
      </c>
      <c r="Q235" s="33"/>
      <c r="R235" s="33"/>
      <c r="S235" s="33"/>
      <c r="T23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35" s="57">
        <f>ABS(Tableau13452729313335374951944325[[#This Row],[MONTANT DEPASSEMENT]]*0.005)</f>
        <v>0</v>
      </c>
      <c r="V235" s="33"/>
      <c r="W235" s="33"/>
      <c r="X235" s="33"/>
      <c r="Y235" s="33"/>
    </row>
    <row r="236" spans="1:25" x14ac:dyDescent="0.25">
      <c r="A236" s="33"/>
      <c r="B236" s="34">
        <v>712</v>
      </c>
      <c r="C236" s="34" t="s">
        <v>431</v>
      </c>
      <c r="D236" s="53" t="s">
        <v>520</v>
      </c>
      <c r="E236" s="53" t="s">
        <v>521</v>
      </c>
      <c r="F236" s="53" t="s">
        <v>409</v>
      </c>
      <c r="G236" s="34" t="s">
        <v>522</v>
      </c>
      <c r="H236" s="34" t="s">
        <v>31</v>
      </c>
      <c r="I236" s="33"/>
      <c r="J236" s="42"/>
      <c r="K236" s="43"/>
      <c r="L236" s="44"/>
      <c r="M23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36" s="38">
        <f>Tableau13452729313335374951944325[[#This Row],[MONTANT OPERATION]]+Tableau13452729313335374951944325[[#This Row],[POS  FUSIONNEE CPTE AVANT OP]]</f>
        <v>0</v>
      </c>
      <c r="O23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36" s="39" t="e">
        <f>Tableau13452729313335374951944325[[#This Row],[DEPASSEMENT TOTAL SUR AUTO
]]/-Tableau13452729313335374951944325[[#This Row],[MONTANT AUTO]]</f>
        <v>#VALUE!</v>
      </c>
      <c r="Q236" s="33"/>
      <c r="R236" s="33"/>
      <c r="S236" s="33"/>
      <c r="T23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36" s="57">
        <f>ABS(Tableau13452729313335374951944325[[#This Row],[MONTANT DEPASSEMENT]]*0.005)</f>
        <v>0</v>
      </c>
      <c r="V236" s="33"/>
      <c r="W236" s="33"/>
      <c r="X236" s="33"/>
      <c r="Y236" s="33"/>
    </row>
    <row r="237" spans="1:25" x14ac:dyDescent="0.25">
      <c r="A237" s="33"/>
      <c r="B237" s="34">
        <v>712</v>
      </c>
      <c r="C237" s="34" t="s">
        <v>431</v>
      </c>
      <c r="D237" s="53" t="s">
        <v>369</v>
      </c>
      <c r="E237" s="53" t="s">
        <v>333</v>
      </c>
      <c r="F237" s="53" t="s">
        <v>26</v>
      </c>
      <c r="G237" s="34" t="s">
        <v>393</v>
      </c>
      <c r="H237" s="34" t="s">
        <v>31</v>
      </c>
      <c r="I237" s="33"/>
      <c r="J237" s="42"/>
      <c r="K237" s="43"/>
      <c r="L237" s="44"/>
      <c r="M23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37" s="38">
        <f>Tableau13452729313335374951944325[[#This Row],[MONTANT OPERATION]]+Tableau13452729313335374951944325[[#This Row],[POS  FUSIONNEE CPTE AVANT OP]]</f>
        <v>0</v>
      </c>
      <c r="O23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37" s="39" t="e">
        <f>Tableau13452729313335374951944325[[#This Row],[DEPASSEMENT TOTAL SUR AUTO
]]/-Tableau13452729313335374951944325[[#This Row],[MONTANT AUTO]]</f>
        <v>#VALUE!</v>
      </c>
      <c r="Q237" s="33"/>
      <c r="R237" s="33"/>
      <c r="S237" s="33"/>
      <c r="T23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37" s="57">
        <f>ABS(Tableau13452729313335374951944325[[#This Row],[MONTANT DEPASSEMENT]]*0.005)</f>
        <v>0</v>
      </c>
      <c r="V237" s="33"/>
      <c r="W237" s="33"/>
      <c r="X237" s="33"/>
      <c r="Y237" s="33"/>
    </row>
    <row r="238" spans="1:25" x14ac:dyDescent="0.25">
      <c r="A238" s="33"/>
      <c r="B238" s="34">
        <v>712</v>
      </c>
      <c r="C238" s="34" t="s">
        <v>431</v>
      </c>
      <c r="D238" s="53" t="s">
        <v>305</v>
      </c>
      <c r="E238" s="53" t="s">
        <v>306</v>
      </c>
      <c r="F238" s="53" t="s">
        <v>223</v>
      </c>
      <c r="G238" s="34" t="s">
        <v>526</v>
      </c>
      <c r="H238" s="34" t="s">
        <v>31</v>
      </c>
      <c r="I238" s="33"/>
      <c r="J238" s="42"/>
      <c r="K238" s="43"/>
      <c r="L238" s="44"/>
      <c r="M23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38" s="38">
        <f>Tableau13452729313335374951944325[[#This Row],[MONTANT OPERATION]]+Tableau13452729313335374951944325[[#This Row],[POS  FUSIONNEE CPTE AVANT OP]]</f>
        <v>0</v>
      </c>
      <c r="O23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38" s="39" t="e">
        <f>Tableau13452729313335374951944325[[#This Row],[DEPASSEMENT TOTAL SUR AUTO
]]/-Tableau13452729313335374951944325[[#This Row],[MONTANT AUTO]]</f>
        <v>#VALUE!</v>
      </c>
      <c r="Q238" s="33"/>
      <c r="R238" s="33"/>
      <c r="S238" s="33"/>
      <c r="T23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38" s="57">
        <f>ABS(Tableau13452729313335374951944325[[#This Row],[MONTANT DEPASSEMENT]]*0.005)</f>
        <v>0</v>
      </c>
      <c r="V238" s="33"/>
      <c r="W238" s="33"/>
      <c r="X238" s="33"/>
      <c r="Y238" s="33"/>
    </row>
    <row r="239" spans="1:25" x14ac:dyDescent="0.25">
      <c r="A239" s="33"/>
      <c r="B239" s="34">
        <v>712</v>
      </c>
      <c r="C239" s="34" t="s">
        <v>431</v>
      </c>
      <c r="D239" s="53" t="s">
        <v>51</v>
      </c>
      <c r="E239" s="53" t="s">
        <v>52</v>
      </c>
      <c r="F239" s="53" t="s">
        <v>211</v>
      </c>
      <c r="G239" s="34" t="s">
        <v>527</v>
      </c>
      <c r="H239" s="34" t="s">
        <v>47</v>
      </c>
      <c r="I239" s="33"/>
      <c r="J239" s="42"/>
      <c r="K239" s="43"/>
      <c r="L239" s="44"/>
      <c r="M23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39" s="38">
        <f>Tableau13452729313335374951944325[[#This Row],[MONTANT OPERATION]]+Tableau13452729313335374951944325[[#This Row],[POS  FUSIONNEE CPTE AVANT OP]]</f>
        <v>0</v>
      </c>
      <c r="O23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39" s="39" t="e">
        <f>Tableau13452729313335374951944325[[#This Row],[DEPASSEMENT TOTAL SUR AUTO
]]/-Tableau13452729313335374951944325[[#This Row],[MONTANT AUTO]]</f>
        <v>#VALUE!</v>
      </c>
      <c r="Q239" s="33"/>
      <c r="R239" s="33"/>
      <c r="S239" s="33"/>
      <c r="T23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39" s="57">
        <f>ABS(Tableau13452729313335374951944325[[#This Row],[MONTANT DEPASSEMENT]]*0.005)</f>
        <v>0</v>
      </c>
      <c r="V239" s="33"/>
      <c r="W239" s="33"/>
      <c r="X239" s="33"/>
      <c r="Y239" s="33"/>
    </row>
    <row r="240" spans="1:25" x14ac:dyDescent="0.25">
      <c r="A240" s="33"/>
      <c r="B240" s="34">
        <v>712</v>
      </c>
      <c r="C240" s="34" t="s">
        <v>431</v>
      </c>
      <c r="D240" s="53" t="s">
        <v>51</v>
      </c>
      <c r="E240" s="53" t="s">
        <v>52</v>
      </c>
      <c r="F240" s="53" t="s">
        <v>102</v>
      </c>
      <c r="G240" s="34" t="s">
        <v>527</v>
      </c>
      <c r="H240" s="34" t="s">
        <v>31</v>
      </c>
      <c r="I240" s="33"/>
      <c r="J240" s="42"/>
      <c r="K240" s="43"/>
      <c r="L240" s="44"/>
      <c r="M24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40" s="38">
        <f>Tableau13452729313335374951944325[[#This Row],[MONTANT OPERATION]]+Tableau13452729313335374951944325[[#This Row],[POS  FUSIONNEE CPTE AVANT OP]]</f>
        <v>0</v>
      </c>
      <c r="O24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40" s="39" t="e">
        <f>Tableau13452729313335374951944325[[#This Row],[DEPASSEMENT TOTAL SUR AUTO
]]/-Tableau13452729313335374951944325[[#This Row],[MONTANT AUTO]]</f>
        <v>#VALUE!</v>
      </c>
      <c r="Q240" s="33"/>
      <c r="R240" s="33"/>
      <c r="S240" s="33"/>
      <c r="T24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40" s="57">
        <f>ABS(Tableau13452729313335374951944325[[#This Row],[MONTANT DEPASSEMENT]]*0.005)</f>
        <v>0</v>
      </c>
      <c r="V240" s="33"/>
      <c r="W240" s="33"/>
      <c r="X240" s="33"/>
      <c r="Y240" s="33"/>
    </row>
    <row r="241" spans="1:25" x14ac:dyDescent="0.25">
      <c r="A241" s="33"/>
      <c r="B241" s="34">
        <v>712</v>
      </c>
      <c r="C241" s="34" t="s">
        <v>431</v>
      </c>
      <c r="D241" s="53" t="s">
        <v>79</v>
      </c>
      <c r="E241" s="53" t="s">
        <v>80</v>
      </c>
      <c r="F241" s="53" t="s">
        <v>81</v>
      </c>
      <c r="G241" s="34" t="s">
        <v>528</v>
      </c>
      <c r="H241" s="34" t="s">
        <v>31</v>
      </c>
      <c r="I241" s="33"/>
      <c r="J241" s="42"/>
      <c r="K241" s="43"/>
      <c r="L241" s="44"/>
      <c r="M24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41" s="38">
        <f>Tableau13452729313335374951944325[[#This Row],[MONTANT OPERATION]]+Tableau13452729313335374951944325[[#This Row],[POS  FUSIONNEE CPTE AVANT OP]]</f>
        <v>0</v>
      </c>
      <c r="O24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41" s="39" t="e">
        <f>Tableau13452729313335374951944325[[#This Row],[DEPASSEMENT TOTAL SUR AUTO
]]/-Tableau13452729313335374951944325[[#This Row],[MONTANT AUTO]]</f>
        <v>#VALUE!</v>
      </c>
      <c r="Q241" s="33"/>
      <c r="R241" s="33"/>
      <c r="S241" s="33"/>
      <c r="T24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41" s="57">
        <f>ABS(Tableau13452729313335374951944325[[#This Row],[MONTANT DEPASSEMENT]]*0.005)</f>
        <v>0</v>
      </c>
      <c r="V241" s="33"/>
      <c r="W241" s="33"/>
      <c r="X241" s="33"/>
      <c r="Y241" s="33"/>
    </row>
    <row r="242" spans="1:25" x14ac:dyDescent="0.25">
      <c r="A242" s="33"/>
      <c r="B242" s="34">
        <v>712</v>
      </c>
      <c r="C242" s="34" t="s">
        <v>431</v>
      </c>
      <c r="D242" s="53" t="s">
        <v>221</v>
      </c>
      <c r="E242" s="53" t="s">
        <v>222</v>
      </c>
      <c r="F242" s="53" t="s">
        <v>223</v>
      </c>
      <c r="G242" s="34" t="s">
        <v>529</v>
      </c>
      <c r="H242" s="34" t="s">
        <v>60</v>
      </c>
      <c r="I242" s="33"/>
      <c r="J242" s="42"/>
      <c r="K242" s="43"/>
      <c r="L242" s="44"/>
      <c r="M24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42" s="38">
        <f>Tableau13452729313335374951944325[[#This Row],[MONTANT OPERATION]]+Tableau13452729313335374951944325[[#This Row],[POS  FUSIONNEE CPTE AVANT OP]]</f>
        <v>0</v>
      </c>
      <c r="O24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42" s="39" t="e">
        <f>Tableau13452729313335374951944325[[#This Row],[DEPASSEMENT TOTAL SUR AUTO
]]/-Tableau13452729313335374951944325[[#This Row],[MONTANT AUTO]]</f>
        <v>#VALUE!</v>
      </c>
      <c r="Q242" s="33"/>
      <c r="R242" s="33"/>
      <c r="S242" s="33"/>
      <c r="T24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42" s="57">
        <f>ABS(Tableau13452729313335374951944325[[#This Row],[MONTANT DEPASSEMENT]]*0.005)</f>
        <v>0</v>
      </c>
      <c r="V242" s="33"/>
      <c r="W242" s="33"/>
      <c r="X242" s="33"/>
      <c r="Y242" s="33"/>
    </row>
    <row r="243" spans="1:25" x14ac:dyDescent="0.25">
      <c r="A243" s="33"/>
      <c r="B243" s="34">
        <v>715</v>
      </c>
      <c r="C243" s="34" t="s">
        <v>439</v>
      </c>
      <c r="D243" s="53" t="s">
        <v>328</v>
      </c>
      <c r="E243" s="53" t="s">
        <v>329</v>
      </c>
      <c r="F243" s="53" t="s">
        <v>203</v>
      </c>
      <c r="G243" s="34" t="s">
        <v>530</v>
      </c>
      <c r="H243" s="34" t="s">
        <v>27</v>
      </c>
      <c r="I243" s="33"/>
      <c r="J243" s="42"/>
      <c r="K243" s="43"/>
      <c r="L243" s="44"/>
      <c r="M24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43" s="38">
        <f>Tableau13452729313335374951944325[[#This Row],[MONTANT OPERATION]]+Tableau13452729313335374951944325[[#This Row],[POS  FUSIONNEE CPTE AVANT OP]]</f>
        <v>0</v>
      </c>
      <c r="O24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43" s="39" t="e">
        <f>Tableau13452729313335374951944325[[#This Row],[DEPASSEMENT TOTAL SUR AUTO
]]/-Tableau13452729313335374951944325[[#This Row],[MONTANT AUTO]]</f>
        <v>#VALUE!</v>
      </c>
      <c r="Q243" s="33"/>
      <c r="R243" s="33"/>
      <c r="S243" s="33"/>
      <c r="T24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43" s="57">
        <f>ABS(Tableau13452729313335374951944325[[#This Row],[MONTANT DEPASSEMENT]]*0.005)</f>
        <v>0</v>
      </c>
      <c r="V243" s="33"/>
      <c r="W243" s="33"/>
      <c r="X243" s="33"/>
      <c r="Y243" s="33"/>
    </row>
    <row r="244" spans="1:25" x14ac:dyDescent="0.25">
      <c r="A244" s="33"/>
      <c r="B244" s="34">
        <v>712</v>
      </c>
      <c r="C244" s="34" t="s">
        <v>431</v>
      </c>
      <c r="D244" s="53" t="s">
        <v>531</v>
      </c>
      <c r="E244" s="53" t="s">
        <v>532</v>
      </c>
      <c r="F244" s="53" t="s">
        <v>231</v>
      </c>
      <c r="G244" s="34" t="s">
        <v>533</v>
      </c>
      <c r="H244" s="34" t="s">
        <v>27</v>
      </c>
      <c r="I244" s="33"/>
      <c r="J244" s="42"/>
      <c r="K244" s="43"/>
      <c r="L244" s="44"/>
      <c r="M24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44" s="38">
        <f>Tableau13452729313335374951944325[[#This Row],[MONTANT OPERATION]]+Tableau13452729313335374951944325[[#This Row],[POS  FUSIONNEE CPTE AVANT OP]]</f>
        <v>0</v>
      </c>
      <c r="O24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44" s="39" t="e">
        <f>Tableau13452729313335374951944325[[#This Row],[DEPASSEMENT TOTAL SUR AUTO
]]/-Tableau13452729313335374951944325[[#This Row],[MONTANT AUTO]]</f>
        <v>#VALUE!</v>
      </c>
      <c r="Q244" s="33"/>
      <c r="R244" s="33"/>
      <c r="S244" s="33"/>
      <c r="T24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44" s="57">
        <f>ABS(Tableau13452729313335374951944325[[#This Row],[MONTANT DEPASSEMENT]]*0.005)</f>
        <v>0</v>
      </c>
      <c r="V244" s="33"/>
      <c r="W244" s="33"/>
      <c r="X244" s="33"/>
      <c r="Y244" s="33"/>
    </row>
    <row r="245" spans="1:25" x14ac:dyDescent="0.25">
      <c r="A245" s="33"/>
      <c r="B245" s="34">
        <v>712</v>
      </c>
      <c r="C245" s="34" t="s">
        <v>431</v>
      </c>
      <c r="D245" s="53" t="s">
        <v>246</v>
      </c>
      <c r="E245" s="53" t="s">
        <v>247</v>
      </c>
      <c r="F245" s="53" t="s">
        <v>192</v>
      </c>
      <c r="G245" s="34" t="s">
        <v>534</v>
      </c>
      <c r="H245" s="34" t="s">
        <v>27</v>
      </c>
      <c r="I245" s="33"/>
      <c r="J245" s="42"/>
      <c r="K245" s="43"/>
      <c r="L245" s="44"/>
      <c r="M24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45" s="38">
        <f>Tableau13452729313335374951944325[[#This Row],[MONTANT OPERATION]]+Tableau13452729313335374951944325[[#This Row],[POS  FUSIONNEE CPTE AVANT OP]]</f>
        <v>0</v>
      </c>
      <c r="O24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45" s="39" t="e">
        <f>Tableau13452729313335374951944325[[#This Row],[DEPASSEMENT TOTAL SUR AUTO
]]/-Tableau13452729313335374951944325[[#This Row],[MONTANT AUTO]]</f>
        <v>#VALUE!</v>
      </c>
      <c r="Q245" s="33"/>
      <c r="R245" s="33"/>
      <c r="S245" s="33"/>
      <c r="T24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45" s="57">
        <f>ABS(Tableau13452729313335374951944325[[#This Row],[MONTANT DEPASSEMENT]]*0.005)</f>
        <v>0</v>
      </c>
      <c r="V245" s="33"/>
      <c r="W245" s="33"/>
      <c r="X245" s="33"/>
      <c r="Y245" s="33"/>
    </row>
    <row r="246" spans="1:25" x14ac:dyDescent="0.25">
      <c r="A246" s="33"/>
      <c r="B246" s="34">
        <v>713</v>
      </c>
      <c r="C246" s="34" t="s">
        <v>433</v>
      </c>
      <c r="D246" s="53" t="s">
        <v>337</v>
      </c>
      <c r="E246" s="53" t="s">
        <v>338</v>
      </c>
      <c r="F246" s="53" t="s">
        <v>191</v>
      </c>
      <c r="G246" s="34" t="s">
        <v>535</v>
      </c>
      <c r="H246" s="34" t="s">
        <v>31</v>
      </c>
      <c r="I246" s="33"/>
      <c r="J246" s="42"/>
      <c r="K246" s="43"/>
      <c r="L246" s="44"/>
      <c r="M24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46" s="38">
        <f>Tableau13452729313335374951944325[[#This Row],[MONTANT OPERATION]]+Tableau13452729313335374951944325[[#This Row],[POS  FUSIONNEE CPTE AVANT OP]]</f>
        <v>0</v>
      </c>
      <c r="O24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46" s="39" t="e">
        <f>Tableau13452729313335374951944325[[#This Row],[DEPASSEMENT TOTAL SUR AUTO
]]/-Tableau13452729313335374951944325[[#This Row],[MONTANT AUTO]]</f>
        <v>#VALUE!</v>
      </c>
      <c r="Q246" s="33"/>
      <c r="R246" s="33"/>
      <c r="S246" s="33"/>
      <c r="T24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46" s="57">
        <f>ABS(Tableau13452729313335374951944325[[#This Row],[MONTANT DEPASSEMENT]]*0.005)</f>
        <v>0</v>
      </c>
      <c r="V246" s="33"/>
      <c r="W246" s="33"/>
      <c r="X246" s="33"/>
      <c r="Y246" s="33"/>
    </row>
    <row r="247" spans="1:25" x14ac:dyDescent="0.25">
      <c r="A247" s="33"/>
      <c r="B247" s="34">
        <v>713</v>
      </c>
      <c r="C247" s="34" t="s">
        <v>433</v>
      </c>
      <c r="D247" s="53" t="s">
        <v>318</v>
      </c>
      <c r="E247" s="53" t="s">
        <v>319</v>
      </c>
      <c r="F247" s="53" t="s">
        <v>259</v>
      </c>
      <c r="G247" s="34" t="s">
        <v>536</v>
      </c>
      <c r="H247" s="34" t="s">
        <v>27</v>
      </c>
      <c r="I247" s="33"/>
      <c r="J247" s="42"/>
      <c r="K247" s="43"/>
      <c r="L247" s="44"/>
      <c r="M24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47" s="38">
        <f>Tableau13452729313335374951944325[[#This Row],[MONTANT OPERATION]]+Tableau13452729313335374951944325[[#This Row],[POS  FUSIONNEE CPTE AVANT OP]]</f>
        <v>0</v>
      </c>
      <c r="O24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47" s="39" t="e">
        <f>Tableau13452729313335374951944325[[#This Row],[DEPASSEMENT TOTAL SUR AUTO
]]/-Tableau13452729313335374951944325[[#This Row],[MONTANT AUTO]]</f>
        <v>#VALUE!</v>
      </c>
      <c r="Q247" s="33"/>
      <c r="R247" s="33"/>
      <c r="S247" s="33"/>
      <c r="T24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47" s="57">
        <f>ABS(Tableau13452729313335374951944325[[#This Row],[MONTANT DEPASSEMENT]]*0.005)</f>
        <v>0</v>
      </c>
      <c r="V247" s="33"/>
      <c r="W247" s="33"/>
      <c r="X247" s="33"/>
      <c r="Y247" s="33"/>
    </row>
    <row r="248" spans="1:25" x14ac:dyDescent="0.25">
      <c r="A248" s="33"/>
      <c r="B248" s="34">
        <v>713</v>
      </c>
      <c r="C248" s="34" t="s">
        <v>433</v>
      </c>
      <c r="D248" s="53" t="s">
        <v>59</v>
      </c>
      <c r="E248" s="53" t="s">
        <v>366</v>
      </c>
      <c r="F248" s="53" t="s">
        <v>312</v>
      </c>
      <c r="G248" s="34" t="s">
        <v>537</v>
      </c>
      <c r="H248" s="34" t="s">
        <v>60</v>
      </c>
      <c r="I248" s="33"/>
      <c r="J248" s="42"/>
      <c r="K248" s="43"/>
      <c r="L248" s="44"/>
      <c r="M24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48" s="38">
        <f>Tableau13452729313335374951944325[[#This Row],[MONTANT OPERATION]]+Tableau13452729313335374951944325[[#This Row],[POS  FUSIONNEE CPTE AVANT OP]]</f>
        <v>0</v>
      </c>
      <c r="O24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48" s="39" t="e">
        <f>Tableau13452729313335374951944325[[#This Row],[DEPASSEMENT TOTAL SUR AUTO
]]/-Tableau13452729313335374951944325[[#This Row],[MONTANT AUTO]]</f>
        <v>#VALUE!</v>
      </c>
      <c r="Q248" s="33"/>
      <c r="R248" s="33"/>
      <c r="S248" s="33"/>
      <c r="T24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48" s="57">
        <f>ABS(Tableau13452729313335374951944325[[#This Row],[MONTANT DEPASSEMENT]]*0.005)</f>
        <v>0</v>
      </c>
      <c r="V248" s="33"/>
      <c r="W248" s="33"/>
      <c r="X248" s="33"/>
      <c r="Y248" s="33"/>
    </row>
    <row r="249" spans="1:25" x14ac:dyDescent="0.25">
      <c r="A249" s="33"/>
      <c r="B249" s="34">
        <v>713</v>
      </c>
      <c r="C249" s="34" t="s">
        <v>433</v>
      </c>
      <c r="D249" s="53" t="s">
        <v>148</v>
      </c>
      <c r="E249" s="53" t="s">
        <v>272</v>
      </c>
      <c r="F249" s="53" t="s">
        <v>250</v>
      </c>
      <c r="G249" s="34" t="s">
        <v>538</v>
      </c>
      <c r="H249" s="34" t="s">
        <v>149</v>
      </c>
      <c r="I249" s="33"/>
      <c r="J249" s="42"/>
      <c r="K249" s="43"/>
      <c r="L249" s="44"/>
      <c r="M24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49" s="38">
        <f>Tableau13452729313335374951944325[[#This Row],[MONTANT OPERATION]]+Tableau13452729313335374951944325[[#This Row],[POS  FUSIONNEE CPTE AVANT OP]]</f>
        <v>0</v>
      </c>
      <c r="O24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49" s="39" t="e">
        <f>Tableau13452729313335374951944325[[#This Row],[DEPASSEMENT TOTAL SUR AUTO
]]/-Tableau13452729313335374951944325[[#This Row],[MONTANT AUTO]]</f>
        <v>#VALUE!</v>
      </c>
      <c r="Q249" s="33"/>
      <c r="R249" s="33"/>
      <c r="S249" s="33"/>
      <c r="T24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49" s="57">
        <f>ABS(Tableau13452729313335374951944325[[#This Row],[MONTANT DEPASSEMENT]]*0.005)</f>
        <v>0</v>
      </c>
      <c r="V249" s="33"/>
      <c r="W249" s="33"/>
      <c r="X249" s="33"/>
      <c r="Y249" s="33"/>
    </row>
    <row r="250" spans="1:25" x14ac:dyDescent="0.25">
      <c r="A250" s="33"/>
      <c r="B250" s="34">
        <v>713</v>
      </c>
      <c r="C250" s="34" t="s">
        <v>433</v>
      </c>
      <c r="D250" s="53" t="s">
        <v>347</v>
      </c>
      <c r="E250" s="53" t="s">
        <v>348</v>
      </c>
      <c r="F250" s="53" t="s">
        <v>265</v>
      </c>
      <c r="G250" s="34" t="s">
        <v>539</v>
      </c>
      <c r="H250" s="34" t="s">
        <v>31</v>
      </c>
      <c r="I250" s="33"/>
      <c r="J250" s="42"/>
      <c r="K250" s="43"/>
      <c r="L250" s="44"/>
      <c r="M25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50" s="38">
        <f>Tableau13452729313335374951944325[[#This Row],[MONTANT OPERATION]]+Tableau13452729313335374951944325[[#This Row],[POS  FUSIONNEE CPTE AVANT OP]]</f>
        <v>0</v>
      </c>
      <c r="O25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50" s="39" t="e">
        <f>Tableau13452729313335374951944325[[#This Row],[DEPASSEMENT TOTAL SUR AUTO
]]/-Tableau13452729313335374951944325[[#This Row],[MONTANT AUTO]]</f>
        <v>#VALUE!</v>
      </c>
      <c r="Q250" s="33"/>
      <c r="R250" s="33"/>
      <c r="S250" s="33"/>
      <c r="T25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50" s="57">
        <f>ABS(Tableau13452729313335374951944325[[#This Row],[MONTANT DEPASSEMENT]]*0.005)</f>
        <v>0</v>
      </c>
      <c r="V250" s="33"/>
      <c r="W250" s="33"/>
      <c r="X250" s="33"/>
      <c r="Y250" s="33"/>
    </row>
    <row r="251" spans="1:25" x14ac:dyDescent="0.25">
      <c r="A251" s="33"/>
      <c r="B251" s="34">
        <v>713</v>
      </c>
      <c r="C251" s="34" t="s">
        <v>433</v>
      </c>
      <c r="D251" s="53" t="s">
        <v>396</v>
      </c>
      <c r="E251" s="53" t="s">
        <v>397</v>
      </c>
      <c r="F251" s="53" t="s">
        <v>349</v>
      </c>
      <c r="G251" s="34" t="s">
        <v>540</v>
      </c>
      <c r="H251" s="34" t="s">
        <v>27</v>
      </c>
      <c r="I251" s="33"/>
      <c r="J251" s="42"/>
      <c r="K251" s="43"/>
      <c r="L251" s="44"/>
      <c r="M25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51" s="38">
        <f>Tableau13452729313335374951944325[[#This Row],[MONTANT OPERATION]]+Tableau13452729313335374951944325[[#This Row],[POS  FUSIONNEE CPTE AVANT OP]]</f>
        <v>0</v>
      </c>
      <c r="O25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51" s="39" t="e">
        <f>Tableau13452729313335374951944325[[#This Row],[DEPASSEMENT TOTAL SUR AUTO
]]/-Tableau13452729313335374951944325[[#This Row],[MONTANT AUTO]]</f>
        <v>#VALUE!</v>
      </c>
      <c r="Q251" s="33"/>
      <c r="R251" s="33"/>
      <c r="S251" s="33"/>
      <c r="T25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51" s="57">
        <f>ABS(Tableau13452729313335374951944325[[#This Row],[MONTANT DEPASSEMENT]]*0.005)</f>
        <v>0</v>
      </c>
      <c r="V251" s="33"/>
      <c r="W251" s="33"/>
      <c r="X251" s="33"/>
      <c r="Y251" s="33"/>
    </row>
    <row r="252" spans="1:25" x14ac:dyDescent="0.25">
      <c r="A252" s="33"/>
      <c r="B252" s="34">
        <v>714</v>
      </c>
      <c r="C252" s="34" t="s">
        <v>435</v>
      </c>
      <c r="D252" s="53" t="s">
        <v>68</v>
      </c>
      <c r="E252" s="53" t="s">
        <v>69</v>
      </c>
      <c r="F252" s="53" t="s">
        <v>267</v>
      </c>
      <c r="G252" s="34" t="s">
        <v>541</v>
      </c>
      <c r="H252" s="34" t="s">
        <v>31</v>
      </c>
      <c r="I252" s="33"/>
      <c r="J252" s="42"/>
      <c r="K252" s="43"/>
      <c r="L252" s="44"/>
      <c r="M25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52" s="38">
        <f>Tableau13452729313335374951944325[[#This Row],[MONTANT OPERATION]]+Tableau13452729313335374951944325[[#This Row],[POS  FUSIONNEE CPTE AVANT OP]]</f>
        <v>0</v>
      </c>
      <c r="O25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52" s="39" t="e">
        <f>Tableau13452729313335374951944325[[#This Row],[DEPASSEMENT TOTAL SUR AUTO
]]/-Tableau13452729313335374951944325[[#This Row],[MONTANT AUTO]]</f>
        <v>#VALUE!</v>
      </c>
      <c r="Q252" s="33"/>
      <c r="R252" s="33"/>
      <c r="S252" s="33"/>
      <c r="T25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52" s="57">
        <f>ABS(Tableau13452729313335374951944325[[#This Row],[MONTANT DEPASSEMENT]]*0.005)</f>
        <v>0</v>
      </c>
      <c r="V252" s="33"/>
      <c r="W252" s="33"/>
      <c r="X252" s="33"/>
      <c r="Y252" s="33"/>
    </row>
    <row r="253" spans="1:25" x14ac:dyDescent="0.25">
      <c r="A253" s="33"/>
      <c r="B253" s="34">
        <v>714</v>
      </c>
      <c r="C253" s="34" t="s">
        <v>435</v>
      </c>
      <c r="D253" s="53" t="s">
        <v>87</v>
      </c>
      <c r="E253" s="53" t="s">
        <v>88</v>
      </c>
      <c r="F253" s="53" t="s">
        <v>89</v>
      </c>
      <c r="G253" s="34" t="s">
        <v>542</v>
      </c>
      <c r="H253" s="34" t="s">
        <v>31</v>
      </c>
      <c r="I253" s="33"/>
      <c r="J253" s="42"/>
      <c r="K253" s="43"/>
      <c r="L253" s="44"/>
      <c r="M25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53" s="38">
        <f>Tableau13452729313335374951944325[[#This Row],[MONTANT OPERATION]]+Tableau13452729313335374951944325[[#This Row],[POS  FUSIONNEE CPTE AVANT OP]]</f>
        <v>0</v>
      </c>
      <c r="O25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53" s="39" t="e">
        <f>Tableau13452729313335374951944325[[#This Row],[DEPASSEMENT TOTAL SUR AUTO
]]/-Tableau13452729313335374951944325[[#This Row],[MONTANT AUTO]]</f>
        <v>#VALUE!</v>
      </c>
      <c r="Q253" s="33"/>
      <c r="R253" s="33"/>
      <c r="S253" s="33"/>
      <c r="T25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53" s="57">
        <f>ABS(Tableau13452729313335374951944325[[#This Row],[MONTANT DEPASSEMENT]]*0.005)</f>
        <v>0</v>
      </c>
      <c r="V253" s="33"/>
      <c r="W253" s="33"/>
      <c r="X253" s="33"/>
      <c r="Y253" s="33"/>
    </row>
    <row r="254" spans="1:25" x14ac:dyDescent="0.25">
      <c r="A254" s="33"/>
      <c r="B254" s="34">
        <v>806</v>
      </c>
      <c r="C254" s="34" t="s">
        <v>492</v>
      </c>
      <c r="D254" s="53" t="s">
        <v>543</v>
      </c>
      <c r="E254" s="53" t="s">
        <v>544</v>
      </c>
      <c r="F254" s="53" t="s">
        <v>302</v>
      </c>
      <c r="G254" s="34" t="s">
        <v>545</v>
      </c>
      <c r="H254" s="34" t="s">
        <v>31</v>
      </c>
      <c r="I254" s="33"/>
      <c r="J254" s="42"/>
      <c r="K254" s="43"/>
      <c r="L254" s="44"/>
      <c r="M25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54" s="38">
        <f>Tableau13452729313335374951944325[[#This Row],[MONTANT OPERATION]]+Tableau13452729313335374951944325[[#This Row],[POS  FUSIONNEE CPTE AVANT OP]]</f>
        <v>0</v>
      </c>
      <c r="O25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54" s="39" t="e">
        <f>Tableau13452729313335374951944325[[#This Row],[DEPASSEMENT TOTAL SUR AUTO
]]/-Tableau13452729313335374951944325[[#This Row],[MONTANT AUTO]]</f>
        <v>#VALUE!</v>
      </c>
      <c r="Q254" s="33"/>
      <c r="R254" s="33"/>
      <c r="S254" s="33"/>
      <c r="T25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54" s="57">
        <f>ABS(Tableau13452729313335374951944325[[#This Row],[MONTANT DEPASSEMENT]]*0.005)</f>
        <v>0</v>
      </c>
      <c r="V254" s="33"/>
      <c r="W254" s="33"/>
      <c r="X254" s="33"/>
      <c r="Y254" s="33"/>
    </row>
    <row r="255" spans="1:25" x14ac:dyDescent="0.25">
      <c r="A255" s="33"/>
      <c r="B255" s="34">
        <v>714</v>
      </c>
      <c r="C255" s="34" t="s">
        <v>435</v>
      </c>
      <c r="D255" s="53" t="s">
        <v>344</v>
      </c>
      <c r="E255" s="53" t="s">
        <v>345</v>
      </c>
      <c r="F255" s="53" t="s">
        <v>268</v>
      </c>
      <c r="G255" s="34" t="s">
        <v>546</v>
      </c>
      <c r="H255" s="34" t="s">
        <v>27</v>
      </c>
      <c r="I255" s="33"/>
      <c r="J255" s="42"/>
      <c r="K255" s="43"/>
      <c r="L255" s="44"/>
      <c r="M25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55" s="38">
        <f>Tableau13452729313335374951944325[[#This Row],[MONTANT OPERATION]]+Tableau13452729313335374951944325[[#This Row],[POS  FUSIONNEE CPTE AVANT OP]]</f>
        <v>0</v>
      </c>
      <c r="O25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55" s="39" t="e">
        <f>Tableau13452729313335374951944325[[#This Row],[DEPASSEMENT TOTAL SUR AUTO
]]/-Tableau13452729313335374951944325[[#This Row],[MONTANT AUTO]]</f>
        <v>#VALUE!</v>
      </c>
      <c r="Q255" s="33"/>
      <c r="R255" s="33"/>
      <c r="S255" s="33"/>
      <c r="T25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55" s="57">
        <f>ABS(Tableau13452729313335374951944325[[#This Row],[MONTANT DEPASSEMENT]]*0.005)</f>
        <v>0</v>
      </c>
      <c r="V255" s="33"/>
      <c r="W255" s="33"/>
      <c r="X255" s="33"/>
      <c r="Y255" s="33"/>
    </row>
    <row r="256" spans="1:25" x14ac:dyDescent="0.25">
      <c r="A256" s="33"/>
      <c r="B256" s="34">
        <v>714</v>
      </c>
      <c r="C256" s="34" t="s">
        <v>435</v>
      </c>
      <c r="D256" s="53" t="s">
        <v>114</v>
      </c>
      <c r="E256" s="53" t="s">
        <v>115</v>
      </c>
      <c r="F256" s="53" t="s">
        <v>26</v>
      </c>
      <c r="G256" s="34" t="s">
        <v>547</v>
      </c>
      <c r="H256" s="34" t="s">
        <v>27</v>
      </c>
      <c r="I256" s="33"/>
      <c r="J256" s="42"/>
      <c r="K256" s="43"/>
      <c r="L256" s="44"/>
      <c r="M25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56" s="38">
        <f>Tableau13452729313335374951944325[[#This Row],[MONTANT OPERATION]]+Tableau13452729313335374951944325[[#This Row],[POS  FUSIONNEE CPTE AVANT OP]]</f>
        <v>0</v>
      </c>
      <c r="O25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56" s="39" t="e">
        <f>Tableau13452729313335374951944325[[#This Row],[DEPASSEMENT TOTAL SUR AUTO
]]/-Tableau13452729313335374951944325[[#This Row],[MONTANT AUTO]]</f>
        <v>#VALUE!</v>
      </c>
      <c r="Q256" s="33"/>
      <c r="R256" s="33"/>
      <c r="S256" s="33"/>
      <c r="T25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56" s="57">
        <f>ABS(Tableau13452729313335374951944325[[#This Row],[MONTANT DEPASSEMENT]]*0.005)</f>
        <v>0</v>
      </c>
      <c r="V256" s="33"/>
      <c r="W256" s="33"/>
      <c r="X256" s="33"/>
      <c r="Y256" s="33"/>
    </row>
    <row r="257" spans="1:25" x14ac:dyDescent="0.25">
      <c r="A257" s="33"/>
      <c r="B257" s="34">
        <v>714</v>
      </c>
      <c r="C257" s="34" t="s">
        <v>435</v>
      </c>
      <c r="D257" s="53" t="s">
        <v>331</v>
      </c>
      <c r="E257" s="53" t="s">
        <v>332</v>
      </c>
      <c r="F257" s="53" t="s">
        <v>187</v>
      </c>
      <c r="G257" s="34" t="s">
        <v>548</v>
      </c>
      <c r="H257" s="34" t="s">
        <v>27</v>
      </c>
      <c r="I257" s="33"/>
      <c r="J257" s="42"/>
      <c r="K257" s="43"/>
      <c r="L257" s="44"/>
      <c r="M25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57" s="38">
        <f>Tableau13452729313335374951944325[[#This Row],[MONTANT OPERATION]]+Tableau13452729313335374951944325[[#This Row],[POS  FUSIONNEE CPTE AVANT OP]]</f>
        <v>0</v>
      </c>
      <c r="O25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57" s="39" t="e">
        <f>Tableau13452729313335374951944325[[#This Row],[DEPASSEMENT TOTAL SUR AUTO
]]/-Tableau13452729313335374951944325[[#This Row],[MONTANT AUTO]]</f>
        <v>#VALUE!</v>
      </c>
      <c r="Q257" s="33"/>
      <c r="R257" s="33"/>
      <c r="S257" s="33"/>
      <c r="T25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57" s="57">
        <f>ABS(Tableau13452729313335374951944325[[#This Row],[MONTANT DEPASSEMENT]]*0.005)</f>
        <v>0</v>
      </c>
      <c r="V257" s="33"/>
      <c r="W257" s="33"/>
      <c r="X257" s="33"/>
      <c r="Y257" s="33"/>
    </row>
    <row r="258" spans="1:25" x14ac:dyDescent="0.25">
      <c r="A258" s="33"/>
      <c r="B258" s="34">
        <v>714</v>
      </c>
      <c r="C258" s="34" t="s">
        <v>435</v>
      </c>
      <c r="D258" s="53" t="s">
        <v>549</v>
      </c>
      <c r="E258" s="53" t="s">
        <v>550</v>
      </c>
      <c r="F258" s="53" t="s">
        <v>203</v>
      </c>
      <c r="G258" s="34" t="s">
        <v>551</v>
      </c>
      <c r="H258" s="34" t="s">
        <v>27</v>
      </c>
      <c r="I258" s="33"/>
      <c r="J258" s="42"/>
      <c r="K258" s="43"/>
      <c r="L258" s="44"/>
      <c r="M25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58" s="38">
        <f>Tableau13452729313335374951944325[[#This Row],[MONTANT OPERATION]]+Tableau13452729313335374951944325[[#This Row],[POS  FUSIONNEE CPTE AVANT OP]]</f>
        <v>0</v>
      </c>
      <c r="O25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58" s="39" t="e">
        <f>Tableau13452729313335374951944325[[#This Row],[DEPASSEMENT TOTAL SUR AUTO
]]/-Tableau13452729313335374951944325[[#This Row],[MONTANT AUTO]]</f>
        <v>#VALUE!</v>
      </c>
      <c r="Q258" s="33"/>
      <c r="R258" s="33"/>
      <c r="S258" s="33"/>
      <c r="T25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58" s="57">
        <f>ABS(Tableau13452729313335374951944325[[#This Row],[MONTANT DEPASSEMENT]]*0.005)</f>
        <v>0</v>
      </c>
      <c r="V258" s="33"/>
      <c r="W258" s="33"/>
      <c r="X258" s="33"/>
      <c r="Y258" s="33"/>
    </row>
    <row r="259" spans="1:25" x14ac:dyDescent="0.25">
      <c r="A259" s="33"/>
      <c r="B259" s="34">
        <v>715</v>
      </c>
      <c r="C259" s="34" t="s">
        <v>439</v>
      </c>
      <c r="D259" s="53" t="s">
        <v>350</v>
      </c>
      <c r="E259" s="53" t="s">
        <v>351</v>
      </c>
      <c r="F259" s="53" t="s">
        <v>229</v>
      </c>
      <c r="G259" s="34" t="s">
        <v>552</v>
      </c>
      <c r="H259" s="34" t="s">
        <v>31</v>
      </c>
      <c r="I259" s="33"/>
      <c r="J259" s="42"/>
      <c r="K259" s="43"/>
      <c r="L259" s="44"/>
      <c r="M25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59" s="38">
        <f>Tableau13452729313335374951944325[[#This Row],[MONTANT OPERATION]]+Tableau13452729313335374951944325[[#This Row],[POS  FUSIONNEE CPTE AVANT OP]]</f>
        <v>0</v>
      </c>
      <c r="O25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59" s="39" t="e">
        <f>Tableau13452729313335374951944325[[#This Row],[DEPASSEMENT TOTAL SUR AUTO
]]/-Tableau13452729313335374951944325[[#This Row],[MONTANT AUTO]]</f>
        <v>#VALUE!</v>
      </c>
      <c r="Q259" s="33"/>
      <c r="R259" s="33"/>
      <c r="S259" s="33"/>
      <c r="T25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59" s="57">
        <f>ABS(Tableau13452729313335374951944325[[#This Row],[MONTANT DEPASSEMENT]]*0.005)</f>
        <v>0</v>
      </c>
      <c r="V259" s="33"/>
      <c r="W259" s="33"/>
      <c r="X259" s="33"/>
      <c r="Y259" s="33"/>
    </row>
    <row r="260" spans="1:25" x14ac:dyDescent="0.25">
      <c r="A260" s="33"/>
      <c r="B260" s="34">
        <v>715</v>
      </c>
      <c r="C260" s="34" t="s">
        <v>439</v>
      </c>
      <c r="D260" s="53" t="s">
        <v>63</v>
      </c>
      <c r="E260" s="53" t="s">
        <v>64</v>
      </c>
      <c r="F260" s="53" t="s">
        <v>266</v>
      </c>
      <c r="G260" s="34" t="s">
        <v>553</v>
      </c>
      <c r="H260" s="34" t="s">
        <v>31</v>
      </c>
      <c r="I260" s="33"/>
      <c r="J260" s="42"/>
      <c r="K260" s="43"/>
      <c r="L260" s="44"/>
      <c r="M26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60" s="38">
        <f>Tableau13452729313335374951944325[[#This Row],[MONTANT OPERATION]]+Tableau13452729313335374951944325[[#This Row],[POS  FUSIONNEE CPTE AVANT OP]]</f>
        <v>0</v>
      </c>
      <c r="O26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60" s="39" t="e">
        <f>Tableau13452729313335374951944325[[#This Row],[DEPASSEMENT TOTAL SUR AUTO
]]/-Tableau13452729313335374951944325[[#This Row],[MONTANT AUTO]]</f>
        <v>#VALUE!</v>
      </c>
      <c r="Q260" s="33"/>
      <c r="R260" s="33"/>
      <c r="S260" s="33"/>
      <c r="T26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60" s="57">
        <f>ABS(Tableau13452729313335374951944325[[#This Row],[MONTANT DEPASSEMENT]]*0.005)</f>
        <v>0</v>
      </c>
      <c r="V260" s="33"/>
      <c r="W260" s="33"/>
      <c r="X260" s="33"/>
      <c r="Y260" s="33"/>
    </row>
    <row r="261" spans="1:25" x14ac:dyDescent="0.25">
      <c r="A261" s="33"/>
      <c r="B261" s="34">
        <v>703</v>
      </c>
      <c r="C261" s="34" t="s">
        <v>453</v>
      </c>
      <c r="D261" s="53" t="s">
        <v>182</v>
      </c>
      <c r="E261" s="53" t="s">
        <v>322</v>
      </c>
      <c r="F261" s="53" t="s">
        <v>265</v>
      </c>
      <c r="G261" s="34" t="s">
        <v>554</v>
      </c>
      <c r="H261" s="34" t="s">
        <v>47</v>
      </c>
      <c r="I261" s="33"/>
      <c r="J261" s="42"/>
      <c r="K261" s="43"/>
      <c r="L261" s="44"/>
      <c r="M26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61" s="38">
        <f>Tableau13452729313335374951944325[[#This Row],[MONTANT OPERATION]]+Tableau13452729313335374951944325[[#This Row],[POS  FUSIONNEE CPTE AVANT OP]]</f>
        <v>0</v>
      </c>
      <c r="O26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61" s="39" t="e">
        <f>Tableau13452729313335374951944325[[#This Row],[DEPASSEMENT TOTAL SUR AUTO
]]/-Tableau13452729313335374951944325[[#This Row],[MONTANT AUTO]]</f>
        <v>#VALUE!</v>
      </c>
      <c r="Q261" s="33"/>
      <c r="R261" s="33"/>
      <c r="S261" s="33"/>
      <c r="T26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61" s="57">
        <f>ABS(Tableau13452729313335374951944325[[#This Row],[MONTANT DEPASSEMENT]]*0.005)</f>
        <v>0</v>
      </c>
      <c r="V261" s="33"/>
      <c r="W261" s="33"/>
      <c r="X261" s="33"/>
      <c r="Y261" s="33"/>
    </row>
    <row r="262" spans="1:25" x14ac:dyDescent="0.25">
      <c r="A262" s="33"/>
      <c r="B262" s="34">
        <v>713</v>
      </c>
      <c r="C262" s="34" t="s">
        <v>433</v>
      </c>
      <c r="D262" s="53" t="s">
        <v>555</v>
      </c>
      <c r="E262" s="53" t="s">
        <v>556</v>
      </c>
      <c r="F262" s="53" t="s">
        <v>266</v>
      </c>
      <c r="G262" s="34" t="s">
        <v>557</v>
      </c>
      <c r="H262" s="34" t="s">
        <v>27</v>
      </c>
      <c r="I262" s="33"/>
      <c r="J262" s="42"/>
      <c r="K262" s="43"/>
      <c r="L262" s="44"/>
      <c r="M26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62" s="38">
        <f>Tableau13452729313335374951944325[[#This Row],[MONTANT OPERATION]]+Tableau13452729313335374951944325[[#This Row],[POS  FUSIONNEE CPTE AVANT OP]]</f>
        <v>0</v>
      </c>
      <c r="O26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62" s="39" t="e">
        <f>Tableau13452729313335374951944325[[#This Row],[DEPASSEMENT TOTAL SUR AUTO
]]/-Tableau13452729313335374951944325[[#This Row],[MONTANT AUTO]]</f>
        <v>#VALUE!</v>
      </c>
      <c r="Q262" s="33"/>
      <c r="R262" s="33"/>
      <c r="S262" s="33"/>
      <c r="T26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62" s="57">
        <f>ABS(Tableau13452729313335374951944325[[#This Row],[MONTANT DEPASSEMENT]]*0.005)</f>
        <v>0</v>
      </c>
      <c r="V262" s="33"/>
      <c r="W262" s="33"/>
      <c r="X262" s="33"/>
      <c r="Y262" s="33"/>
    </row>
    <row r="263" spans="1:25" x14ac:dyDescent="0.25">
      <c r="A263" s="33"/>
      <c r="B263" s="34">
        <v>800</v>
      </c>
      <c r="C263" s="34" t="s">
        <v>444</v>
      </c>
      <c r="D263" s="53" t="s">
        <v>226</v>
      </c>
      <c r="E263" s="53" t="s">
        <v>227</v>
      </c>
      <c r="F263" s="53" t="s">
        <v>228</v>
      </c>
      <c r="G263" s="34" t="s">
        <v>558</v>
      </c>
      <c r="H263" s="34" t="s">
        <v>60</v>
      </c>
      <c r="I263" s="33"/>
      <c r="J263" s="42"/>
      <c r="K263" s="43"/>
      <c r="L263" s="44"/>
      <c r="M26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63" s="38">
        <f>Tableau13452729313335374951944325[[#This Row],[MONTANT OPERATION]]+Tableau13452729313335374951944325[[#This Row],[POS  FUSIONNEE CPTE AVANT OP]]</f>
        <v>0</v>
      </c>
      <c r="O26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63" s="39" t="e">
        <f>Tableau13452729313335374951944325[[#This Row],[DEPASSEMENT TOTAL SUR AUTO
]]/-Tableau13452729313335374951944325[[#This Row],[MONTANT AUTO]]</f>
        <v>#VALUE!</v>
      </c>
      <c r="Q263" s="33"/>
      <c r="R263" s="33"/>
      <c r="S263" s="33"/>
      <c r="T26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63" s="57">
        <f>ABS(Tableau13452729313335374951944325[[#This Row],[MONTANT DEPASSEMENT]]*0.005)</f>
        <v>0</v>
      </c>
      <c r="V263" s="33"/>
      <c r="W263" s="33"/>
      <c r="X263" s="33"/>
      <c r="Y263" s="33"/>
    </row>
    <row r="264" spans="1:25" x14ac:dyDescent="0.25">
      <c r="A264" s="33"/>
      <c r="B264" s="34">
        <v>715</v>
      </c>
      <c r="C264" s="34" t="s">
        <v>439</v>
      </c>
      <c r="D264" s="53" t="s">
        <v>183</v>
      </c>
      <c r="E264" s="53" t="s">
        <v>399</v>
      </c>
      <c r="F264" s="53" t="s">
        <v>250</v>
      </c>
      <c r="G264" s="34" t="s">
        <v>441</v>
      </c>
      <c r="H264" s="34" t="s">
        <v>27</v>
      </c>
      <c r="I264" s="33"/>
      <c r="J264" s="42"/>
      <c r="K264" s="43"/>
      <c r="L264" s="44"/>
      <c r="M26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64" s="38">
        <f>Tableau13452729313335374951944325[[#This Row],[MONTANT OPERATION]]+Tableau13452729313335374951944325[[#This Row],[POS  FUSIONNEE CPTE AVANT OP]]</f>
        <v>0</v>
      </c>
      <c r="O26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64" s="39" t="e">
        <f>Tableau13452729313335374951944325[[#This Row],[DEPASSEMENT TOTAL SUR AUTO
]]/-Tableau13452729313335374951944325[[#This Row],[MONTANT AUTO]]</f>
        <v>#VALUE!</v>
      </c>
      <c r="Q264" s="33"/>
      <c r="R264" s="33"/>
      <c r="S264" s="33"/>
      <c r="T26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64" s="57">
        <f>ABS(Tableau13452729313335374951944325[[#This Row],[MONTANT DEPASSEMENT]]*0.005)</f>
        <v>0</v>
      </c>
      <c r="V264" s="33"/>
      <c r="W264" s="33"/>
      <c r="X264" s="33"/>
      <c r="Y264" s="33"/>
    </row>
    <row r="265" spans="1:25" x14ac:dyDescent="0.25">
      <c r="A265" s="33"/>
      <c r="B265" s="34">
        <v>803</v>
      </c>
      <c r="C265" s="34" t="s">
        <v>447</v>
      </c>
      <c r="D265" s="53" t="s">
        <v>386</v>
      </c>
      <c r="E265" s="53" t="s">
        <v>387</v>
      </c>
      <c r="F265" s="53" t="s">
        <v>228</v>
      </c>
      <c r="G265" s="34" t="s">
        <v>559</v>
      </c>
      <c r="H265" s="34" t="s">
        <v>27</v>
      </c>
      <c r="I265" s="33"/>
      <c r="J265" s="42"/>
      <c r="K265" s="43"/>
      <c r="L265" s="44"/>
      <c r="M26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65" s="38">
        <f>Tableau13452729313335374951944325[[#This Row],[MONTANT OPERATION]]+Tableau13452729313335374951944325[[#This Row],[POS  FUSIONNEE CPTE AVANT OP]]</f>
        <v>0</v>
      </c>
      <c r="O26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65" s="39" t="e">
        <f>Tableau13452729313335374951944325[[#This Row],[DEPASSEMENT TOTAL SUR AUTO
]]/-Tableau13452729313335374951944325[[#This Row],[MONTANT AUTO]]</f>
        <v>#VALUE!</v>
      </c>
      <c r="Q265" s="33"/>
      <c r="R265" s="33"/>
      <c r="S265" s="33"/>
      <c r="T26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65" s="57">
        <f>ABS(Tableau13452729313335374951944325[[#This Row],[MONTANT DEPASSEMENT]]*0.005)</f>
        <v>0</v>
      </c>
      <c r="V265" s="33"/>
      <c r="W265" s="33"/>
      <c r="X265" s="33"/>
      <c r="Y265" s="33"/>
    </row>
    <row r="266" spans="1:25" x14ac:dyDescent="0.25">
      <c r="A266" s="33"/>
      <c r="B266" s="34">
        <v>715</v>
      </c>
      <c r="C266" s="34" t="s">
        <v>439</v>
      </c>
      <c r="D266" s="53" t="s">
        <v>194</v>
      </c>
      <c r="E266" s="53" t="s">
        <v>195</v>
      </c>
      <c r="F266" s="53" t="s">
        <v>196</v>
      </c>
      <c r="G266" s="34" t="s">
        <v>560</v>
      </c>
      <c r="H266" s="34" t="s">
        <v>27</v>
      </c>
      <c r="I266" s="33"/>
      <c r="J266" s="42"/>
      <c r="K266" s="43"/>
      <c r="L266" s="44"/>
      <c r="M26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66" s="38">
        <f>Tableau13452729313335374951944325[[#This Row],[MONTANT OPERATION]]+Tableau13452729313335374951944325[[#This Row],[POS  FUSIONNEE CPTE AVANT OP]]</f>
        <v>0</v>
      </c>
      <c r="O26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66" s="39" t="e">
        <f>Tableau13452729313335374951944325[[#This Row],[DEPASSEMENT TOTAL SUR AUTO
]]/-Tableau13452729313335374951944325[[#This Row],[MONTANT AUTO]]</f>
        <v>#VALUE!</v>
      </c>
      <c r="Q266" s="33"/>
      <c r="R266" s="33"/>
      <c r="S266" s="33"/>
      <c r="T26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66" s="57">
        <f>ABS(Tableau13452729313335374951944325[[#This Row],[MONTANT DEPASSEMENT]]*0.005)</f>
        <v>0</v>
      </c>
      <c r="V266" s="33"/>
      <c r="W266" s="33"/>
      <c r="X266" s="33"/>
      <c r="Y266" s="33"/>
    </row>
    <row r="267" spans="1:25" x14ac:dyDescent="0.25">
      <c r="A267" s="33"/>
      <c r="B267" s="34">
        <v>715</v>
      </c>
      <c r="C267" s="34" t="s">
        <v>439</v>
      </c>
      <c r="D267" s="53" t="s">
        <v>391</v>
      </c>
      <c r="E267" s="53" t="s">
        <v>392</v>
      </c>
      <c r="F267" s="53" t="s">
        <v>276</v>
      </c>
      <c r="G267" s="34" t="s">
        <v>561</v>
      </c>
      <c r="H267" s="34" t="s">
        <v>27</v>
      </c>
      <c r="I267" s="33"/>
      <c r="J267" s="42"/>
      <c r="K267" s="43"/>
      <c r="L267" s="44"/>
      <c r="M26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67" s="38">
        <f>Tableau13452729313335374951944325[[#This Row],[MONTANT OPERATION]]+Tableau13452729313335374951944325[[#This Row],[POS  FUSIONNEE CPTE AVANT OP]]</f>
        <v>0</v>
      </c>
      <c r="O26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67" s="39" t="e">
        <f>Tableau13452729313335374951944325[[#This Row],[DEPASSEMENT TOTAL SUR AUTO
]]/-Tableau13452729313335374951944325[[#This Row],[MONTANT AUTO]]</f>
        <v>#VALUE!</v>
      </c>
      <c r="Q267" s="33"/>
      <c r="R267" s="33"/>
      <c r="S267" s="33"/>
      <c r="T26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67" s="57">
        <f>ABS(Tableau13452729313335374951944325[[#This Row],[MONTANT DEPASSEMENT]]*0.005)</f>
        <v>0</v>
      </c>
      <c r="V267" s="33"/>
      <c r="W267" s="33"/>
      <c r="X267" s="33"/>
      <c r="Y267" s="33"/>
    </row>
    <row r="268" spans="1:25" x14ac:dyDescent="0.25">
      <c r="A268" s="33"/>
      <c r="B268" s="34">
        <v>715</v>
      </c>
      <c r="C268" s="34" t="s">
        <v>439</v>
      </c>
      <c r="D268" s="53" t="s">
        <v>372</v>
      </c>
      <c r="E268" s="53" t="s">
        <v>373</v>
      </c>
      <c r="F268" s="53" t="s">
        <v>209</v>
      </c>
      <c r="G268" s="34" t="s">
        <v>562</v>
      </c>
      <c r="H268" s="34" t="s">
        <v>27</v>
      </c>
      <c r="I268" s="33"/>
      <c r="J268" s="42"/>
      <c r="K268" s="43"/>
      <c r="L268" s="44"/>
      <c r="M26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68" s="38">
        <f>Tableau13452729313335374951944325[[#This Row],[MONTANT OPERATION]]+Tableau13452729313335374951944325[[#This Row],[POS  FUSIONNEE CPTE AVANT OP]]</f>
        <v>0</v>
      </c>
      <c r="O26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68" s="39" t="e">
        <f>Tableau13452729313335374951944325[[#This Row],[DEPASSEMENT TOTAL SUR AUTO
]]/-Tableau13452729313335374951944325[[#This Row],[MONTANT AUTO]]</f>
        <v>#VALUE!</v>
      </c>
      <c r="Q268" s="33"/>
      <c r="R268" s="33"/>
      <c r="S268" s="33"/>
      <c r="T26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68" s="57">
        <f>ABS(Tableau13452729313335374951944325[[#This Row],[MONTANT DEPASSEMENT]]*0.005)</f>
        <v>0</v>
      </c>
      <c r="V268" s="33"/>
      <c r="W268" s="33"/>
      <c r="X268" s="33"/>
      <c r="Y268" s="33"/>
    </row>
    <row r="269" spans="1:25" x14ac:dyDescent="0.25">
      <c r="A269" s="33"/>
      <c r="B269" s="34">
        <v>716</v>
      </c>
      <c r="C269" s="34" t="s">
        <v>563</v>
      </c>
      <c r="D269" s="53" t="s">
        <v>153</v>
      </c>
      <c r="E269" s="53" t="s">
        <v>154</v>
      </c>
      <c r="F269" s="53" t="s">
        <v>191</v>
      </c>
      <c r="G269" s="34" t="s">
        <v>564</v>
      </c>
      <c r="H269" s="34" t="s">
        <v>31</v>
      </c>
      <c r="I269" s="33"/>
      <c r="J269" s="42"/>
      <c r="K269" s="43"/>
      <c r="L269" s="44"/>
      <c r="M26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69" s="38">
        <f>Tableau13452729313335374951944325[[#This Row],[MONTANT OPERATION]]+Tableau13452729313335374951944325[[#This Row],[POS  FUSIONNEE CPTE AVANT OP]]</f>
        <v>0</v>
      </c>
      <c r="O26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69" s="39" t="e">
        <f>Tableau13452729313335374951944325[[#This Row],[DEPASSEMENT TOTAL SUR AUTO
]]/-Tableau13452729313335374951944325[[#This Row],[MONTANT AUTO]]</f>
        <v>#VALUE!</v>
      </c>
      <c r="Q269" s="33"/>
      <c r="R269" s="33"/>
      <c r="S269" s="33"/>
      <c r="T26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69" s="57">
        <f>ABS(Tableau13452729313335374951944325[[#This Row],[MONTANT DEPASSEMENT]]*0.005)</f>
        <v>0</v>
      </c>
      <c r="V269" s="33"/>
      <c r="W269" s="33"/>
      <c r="X269" s="33"/>
      <c r="Y269" s="33"/>
    </row>
    <row r="270" spans="1:25" x14ac:dyDescent="0.25">
      <c r="A270" s="33"/>
      <c r="B270" s="34">
        <v>716</v>
      </c>
      <c r="C270" s="34" t="s">
        <v>563</v>
      </c>
      <c r="D270" s="53" t="s">
        <v>109</v>
      </c>
      <c r="E270" s="53" t="s">
        <v>208</v>
      </c>
      <c r="F270" s="53" t="s">
        <v>205</v>
      </c>
      <c r="G270" s="34" t="s">
        <v>565</v>
      </c>
      <c r="H270" s="34" t="s">
        <v>60</v>
      </c>
      <c r="I270" s="33"/>
      <c r="J270" s="42"/>
      <c r="K270" s="43"/>
      <c r="L270" s="44"/>
      <c r="M27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70" s="38">
        <f>Tableau13452729313335374951944325[[#This Row],[MONTANT OPERATION]]+Tableau13452729313335374951944325[[#This Row],[POS  FUSIONNEE CPTE AVANT OP]]</f>
        <v>0</v>
      </c>
      <c r="O27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70" s="39" t="e">
        <f>Tableau13452729313335374951944325[[#This Row],[DEPASSEMENT TOTAL SUR AUTO
]]/-Tableau13452729313335374951944325[[#This Row],[MONTANT AUTO]]</f>
        <v>#VALUE!</v>
      </c>
      <c r="Q270" s="33"/>
      <c r="R270" s="33"/>
      <c r="S270" s="33"/>
      <c r="T27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70" s="57">
        <f>ABS(Tableau13452729313335374951944325[[#This Row],[MONTANT DEPASSEMENT]]*0.005)</f>
        <v>0</v>
      </c>
      <c r="V270" s="33"/>
      <c r="W270" s="33"/>
      <c r="X270" s="33"/>
      <c r="Y270" s="33"/>
    </row>
    <row r="271" spans="1:25" x14ac:dyDescent="0.25">
      <c r="A271" s="33"/>
      <c r="B271" s="34">
        <v>716</v>
      </c>
      <c r="C271" s="34" t="s">
        <v>563</v>
      </c>
      <c r="D271" s="53" t="s">
        <v>289</v>
      </c>
      <c r="E271" s="53" t="s">
        <v>298</v>
      </c>
      <c r="F271" s="53" t="s">
        <v>290</v>
      </c>
      <c r="G271" s="34" t="s">
        <v>566</v>
      </c>
      <c r="H271" s="34" t="s">
        <v>27</v>
      </c>
      <c r="I271" s="33"/>
      <c r="J271" s="42"/>
      <c r="K271" s="43"/>
      <c r="L271" s="44"/>
      <c r="M27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71" s="38">
        <f>Tableau13452729313335374951944325[[#This Row],[MONTANT OPERATION]]+Tableau13452729313335374951944325[[#This Row],[POS  FUSIONNEE CPTE AVANT OP]]</f>
        <v>0</v>
      </c>
      <c r="O27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71" s="39" t="e">
        <f>Tableau13452729313335374951944325[[#This Row],[DEPASSEMENT TOTAL SUR AUTO
]]/-Tableau13452729313335374951944325[[#This Row],[MONTANT AUTO]]</f>
        <v>#VALUE!</v>
      </c>
      <c r="Q271" s="33"/>
      <c r="R271" s="33"/>
      <c r="S271" s="33"/>
      <c r="T27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71" s="57">
        <f>ABS(Tableau13452729313335374951944325[[#This Row],[MONTANT DEPASSEMENT]]*0.005)</f>
        <v>0</v>
      </c>
      <c r="V271" s="33"/>
      <c r="W271" s="33"/>
      <c r="X271" s="33"/>
      <c r="Y271" s="33"/>
    </row>
    <row r="272" spans="1:25" x14ac:dyDescent="0.25">
      <c r="A272" s="33"/>
      <c r="B272" s="34">
        <v>718</v>
      </c>
      <c r="C272" s="34" t="s">
        <v>462</v>
      </c>
      <c r="D272" s="53" t="s">
        <v>185</v>
      </c>
      <c r="E272" s="53" t="s">
        <v>186</v>
      </c>
      <c r="F272" s="53" t="s">
        <v>346</v>
      </c>
      <c r="G272" s="34" t="s">
        <v>567</v>
      </c>
      <c r="H272" s="34" t="s">
        <v>31</v>
      </c>
      <c r="I272" s="33"/>
      <c r="J272" s="42"/>
      <c r="K272" s="43"/>
      <c r="L272" s="44"/>
      <c r="M27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72" s="38">
        <f>Tableau13452729313335374951944325[[#This Row],[MONTANT OPERATION]]+Tableau13452729313335374951944325[[#This Row],[POS  FUSIONNEE CPTE AVANT OP]]</f>
        <v>0</v>
      </c>
      <c r="O27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72" s="39" t="e">
        <f>Tableau13452729313335374951944325[[#This Row],[DEPASSEMENT TOTAL SUR AUTO
]]/-Tableau13452729313335374951944325[[#This Row],[MONTANT AUTO]]</f>
        <v>#VALUE!</v>
      </c>
      <c r="Q272" s="33"/>
      <c r="R272" s="33"/>
      <c r="S272" s="33"/>
      <c r="T27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72" s="57">
        <f>ABS(Tableau13452729313335374951944325[[#This Row],[MONTANT DEPASSEMENT]]*0.005)</f>
        <v>0</v>
      </c>
      <c r="V272" s="33"/>
      <c r="W272" s="33"/>
      <c r="X272" s="33"/>
      <c r="Y272" s="33"/>
    </row>
    <row r="273" spans="1:25" x14ac:dyDescent="0.25">
      <c r="A273" s="33"/>
      <c r="B273" s="34">
        <v>718</v>
      </c>
      <c r="C273" s="34" t="s">
        <v>462</v>
      </c>
      <c r="D273" s="53" t="s">
        <v>325</v>
      </c>
      <c r="E273" s="53" t="s">
        <v>326</v>
      </c>
      <c r="F273" s="53" t="s">
        <v>312</v>
      </c>
      <c r="G273" s="34" t="s">
        <v>568</v>
      </c>
      <c r="H273" s="34" t="s">
        <v>60</v>
      </c>
      <c r="I273" s="33"/>
      <c r="J273" s="42"/>
      <c r="K273" s="43"/>
      <c r="L273" s="44"/>
      <c r="M27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73" s="38">
        <f>Tableau13452729313335374951944325[[#This Row],[MONTANT OPERATION]]+Tableau13452729313335374951944325[[#This Row],[POS  FUSIONNEE CPTE AVANT OP]]</f>
        <v>0</v>
      </c>
      <c r="O27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73" s="39" t="e">
        <f>Tableau13452729313335374951944325[[#This Row],[DEPASSEMENT TOTAL SUR AUTO
]]/-Tableau13452729313335374951944325[[#This Row],[MONTANT AUTO]]</f>
        <v>#VALUE!</v>
      </c>
      <c r="Q273" s="33"/>
      <c r="R273" s="33"/>
      <c r="S273" s="33"/>
      <c r="T27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73" s="57">
        <f>ABS(Tableau13452729313335374951944325[[#This Row],[MONTANT DEPASSEMENT]]*0.005)</f>
        <v>0</v>
      </c>
      <c r="V273" s="33"/>
      <c r="W273" s="33"/>
      <c r="X273" s="33"/>
      <c r="Y273" s="33"/>
    </row>
    <row r="274" spans="1:25" x14ac:dyDescent="0.25">
      <c r="A274" s="33"/>
      <c r="B274" s="34">
        <v>718</v>
      </c>
      <c r="C274" s="34" t="s">
        <v>462</v>
      </c>
      <c r="D274" s="53" t="s">
        <v>170</v>
      </c>
      <c r="E274" s="53" t="s">
        <v>283</v>
      </c>
      <c r="F274" s="53" t="s">
        <v>284</v>
      </c>
      <c r="G274" s="34" t="s">
        <v>569</v>
      </c>
      <c r="H274" s="34" t="s">
        <v>60</v>
      </c>
      <c r="I274" s="33"/>
      <c r="J274" s="42"/>
      <c r="K274" s="43"/>
      <c r="L274" s="44"/>
      <c r="M27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74" s="38">
        <f>Tableau13452729313335374951944325[[#This Row],[MONTANT OPERATION]]+Tableau13452729313335374951944325[[#This Row],[POS  FUSIONNEE CPTE AVANT OP]]</f>
        <v>0</v>
      </c>
      <c r="O27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74" s="39" t="e">
        <f>Tableau13452729313335374951944325[[#This Row],[DEPASSEMENT TOTAL SUR AUTO
]]/-Tableau13452729313335374951944325[[#This Row],[MONTANT AUTO]]</f>
        <v>#VALUE!</v>
      </c>
      <c r="Q274" s="33"/>
      <c r="R274" s="33"/>
      <c r="S274" s="33"/>
      <c r="T27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74" s="57">
        <f>ABS(Tableau13452729313335374951944325[[#This Row],[MONTANT DEPASSEMENT]]*0.005)</f>
        <v>0</v>
      </c>
      <c r="V274" s="33"/>
      <c r="W274" s="33"/>
      <c r="X274" s="33"/>
      <c r="Y274" s="33"/>
    </row>
    <row r="275" spans="1:25" x14ac:dyDescent="0.25">
      <c r="A275" s="33"/>
      <c r="B275" s="34">
        <v>718</v>
      </c>
      <c r="C275" s="34" t="s">
        <v>462</v>
      </c>
      <c r="D275" s="53" t="s">
        <v>367</v>
      </c>
      <c r="E275" s="53" t="s">
        <v>368</v>
      </c>
      <c r="F275" s="53" t="s">
        <v>230</v>
      </c>
      <c r="G275" s="34" t="s">
        <v>570</v>
      </c>
      <c r="H275" s="34" t="s">
        <v>31</v>
      </c>
      <c r="I275" s="33"/>
      <c r="J275" s="42"/>
      <c r="K275" s="43"/>
      <c r="L275" s="44"/>
      <c r="M27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75" s="38">
        <f>Tableau13452729313335374951944325[[#This Row],[MONTANT OPERATION]]+Tableau13452729313335374951944325[[#This Row],[POS  FUSIONNEE CPTE AVANT OP]]</f>
        <v>0</v>
      </c>
      <c r="O27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75" s="39" t="e">
        <f>Tableau13452729313335374951944325[[#This Row],[DEPASSEMENT TOTAL SUR AUTO
]]/-Tableau13452729313335374951944325[[#This Row],[MONTANT AUTO]]</f>
        <v>#VALUE!</v>
      </c>
      <c r="Q275" s="33"/>
      <c r="R275" s="33"/>
      <c r="S275" s="33"/>
      <c r="T27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75" s="57">
        <f>ABS(Tableau13452729313335374951944325[[#This Row],[MONTANT DEPASSEMENT]]*0.005)</f>
        <v>0</v>
      </c>
      <c r="V275" s="33"/>
      <c r="W275" s="33"/>
      <c r="X275" s="33"/>
      <c r="Y275" s="33"/>
    </row>
    <row r="276" spans="1:25" x14ac:dyDescent="0.25">
      <c r="A276" s="33"/>
      <c r="B276" s="34">
        <v>718</v>
      </c>
      <c r="C276" s="34" t="s">
        <v>462</v>
      </c>
      <c r="D276" s="53" t="s">
        <v>75</v>
      </c>
      <c r="E276" s="53" t="s">
        <v>76</v>
      </c>
      <c r="F276" s="53" t="s">
        <v>77</v>
      </c>
      <c r="G276" s="34" t="s">
        <v>571</v>
      </c>
      <c r="H276" s="34" t="s">
        <v>31</v>
      </c>
      <c r="I276" s="33"/>
      <c r="J276" s="42"/>
      <c r="K276" s="43"/>
      <c r="L276" s="44"/>
      <c r="M27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76" s="38">
        <f>Tableau13452729313335374951944325[[#This Row],[MONTANT OPERATION]]+Tableau13452729313335374951944325[[#This Row],[POS  FUSIONNEE CPTE AVANT OP]]</f>
        <v>0</v>
      </c>
      <c r="O27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76" s="39" t="e">
        <f>Tableau13452729313335374951944325[[#This Row],[DEPASSEMENT TOTAL SUR AUTO
]]/-Tableau13452729313335374951944325[[#This Row],[MONTANT AUTO]]</f>
        <v>#VALUE!</v>
      </c>
      <c r="Q276" s="33"/>
      <c r="R276" s="33"/>
      <c r="S276" s="33"/>
      <c r="T27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76" s="57">
        <f>ABS(Tableau13452729313335374951944325[[#This Row],[MONTANT DEPASSEMENT]]*0.005)</f>
        <v>0</v>
      </c>
      <c r="V276" s="33"/>
      <c r="W276" s="33"/>
      <c r="X276" s="33"/>
      <c r="Y276" s="33"/>
    </row>
    <row r="277" spans="1:25" x14ac:dyDescent="0.25">
      <c r="A277" s="33"/>
      <c r="B277" s="34">
        <v>718</v>
      </c>
      <c r="C277" s="34" t="s">
        <v>462</v>
      </c>
      <c r="D277" s="53" t="s">
        <v>572</v>
      </c>
      <c r="E277" s="53" t="s">
        <v>573</v>
      </c>
      <c r="F277" s="53" t="s">
        <v>231</v>
      </c>
      <c r="G277" s="34" t="s">
        <v>574</v>
      </c>
      <c r="H277" s="34" t="s">
        <v>31</v>
      </c>
      <c r="I277" s="33"/>
      <c r="J277" s="42"/>
      <c r="K277" s="43"/>
      <c r="L277" s="44"/>
      <c r="M27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77" s="38">
        <f>Tableau13452729313335374951944325[[#This Row],[MONTANT OPERATION]]+Tableau13452729313335374951944325[[#This Row],[POS  FUSIONNEE CPTE AVANT OP]]</f>
        <v>0</v>
      </c>
      <c r="O27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77" s="39" t="e">
        <f>Tableau13452729313335374951944325[[#This Row],[DEPASSEMENT TOTAL SUR AUTO
]]/-Tableau13452729313335374951944325[[#This Row],[MONTANT AUTO]]</f>
        <v>#VALUE!</v>
      </c>
      <c r="Q277" s="33"/>
      <c r="R277" s="33"/>
      <c r="S277" s="33"/>
      <c r="T27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77" s="57">
        <f>ABS(Tableau13452729313335374951944325[[#This Row],[MONTANT DEPASSEMENT]]*0.005)</f>
        <v>0</v>
      </c>
      <c r="V277" s="33"/>
      <c r="W277" s="33"/>
      <c r="X277" s="33"/>
      <c r="Y277" s="33"/>
    </row>
    <row r="278" spans="1:25" x14ac:dyDescent="0.25">
      <c r="A278" s="33"/>
      <c r="B278" s="34">
        <v>718</v>
      </c>
      <c r="C278" s="34" t="s">
        <v>462</v>
      </c>
      <c r="D278" s="53" t="s">
        <v>370</v>
      </c>
      <c r="E278" s="53" t="s">
        <v>371</v>
      </c>
      <c r="F278" s="53" t="s">
        <v>92</v>
      </c>
      <c r="G278" s="34" t="s">
        <v>575</v>
      </c>
      <c r="H278" s="34" t="s">
        <v>60</v>
      </c>
      <c r="I278" s="33"/>
      <c r="J278" s="42"/>
      <c r="K278" s="43"/>
      <c r="L278" s="44"/>
      <c r="M27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78" s="38">
        <f>Tableau13452729313335374951944325[[#This Row],[MONTANT OPERATION]]+Tableau13452729313335374951944325[[#This Row],[POS  FUSIONNEE CPTE AVANT OP]]</f>
        <v>0</v>
      </c>
      <c r="O27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78" s="39" t="e">
        <f>Tableau13452729313335374951944325[[#This Row],[DEPASSEMENT TOTAL SUR AUTO
]]/-Tableau13452729313335374951944325[[#This Row],[MONTANT AUTO]]</f>
        <v>#VALUE!</v>
      </c>
      <c r="Q278" s="33"/>
      <c r="R278" s="33"/>
      <c r="S278" s="33"/>
      <c r="T27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78" s="57">
        <f>ABS(Tableau13452729313335374951944325[[#This Row],[MONTANT DEPASSEMENT]]*0.005)</f>
        <v>0</v>
      </c>
      <c r="V278" s="33"/>
      <c r="W278" s="33"/>
      <c r="X278" s="33"/>
      <c r="Y278" s="33"/>
    </row>
    <row r="279" spans="1:25" x14ac:dyDescent="0.25">
      <c r="A279" s="33"/>
      <c r="B279" s="34">
        <v>718</v>
      </c>
      <c r="C279" s="34" t="s">
        <v>462</v>
      </c>
      <c r="D279" s="53" t="s">
        <v>354</v>
      </c>
      <c r="E279" s="53" t="s">
        <v>355</v>
      </c>
      <c r="F279" s="53" t="s">
        <v>26</v>
      </c>
      <c r="G279" s="34" t="s">
        <v>576</v>
      </c>
      <c r="H279" s="34" t="s">
        <v>31</v>
      </c>
      <c r="I279" s="33"/>
      <c r="J279" s="42"/>
      <c r="K279" s="43"/>
      <c r="L279" s="44"/>
      <c r="M27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79" s="38">
        <f>Tableau13452729313335374951944325[[#This Row],[MONTANT OPERATION]]+Tableau13452729313335374951944325[[#This Row],[POS  FUSIONNEE CPTE AVANT OP]]</f>
        <v>0</v>
      </c>
      <c r="O27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79" s="39" t="e">
        <f>Tableau13452729313335374951944325[[#This Row],[DEPASSEMENT TOTAL SUR AUTO
]]/-Tableau13452729313335374951944325[[#This Row],[MONTANT AUTO]]</f>
        <v>#VALUE!</v>
      </c>
      <c r="Q279" s="33"/>
      <c r="R279" s="33"/>
      <c r="S279" s="33"/>
      <c r="T27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79" s="57">
        <f>ABS(Tableau13452729313335374951944325[[#This Row],[MONTANT DEPASSEMENT]]*0.005)</f>
        <v>0</v>
      </c>
      <c r="V279" s="33"/>
      <c r="W279" s="33"/>
      <c r="X279" s="33"/>
      <c r="Y279" s="33"/>
    </row>
    <row r="280" spans="1:25" x14ac:dyDescent="0.25">
      <c r="A280" s="33"/>
      <c r="B280" s="34">
        <v>718</v>
      </c>
      <c r="C280" s="34" t="s">
        <v>462</v>
      </c>
      <c r="D280" s="53" t="s">
        <v>421</v>
      </c>
      <c r="E280" s="53" t="s">
        <v>422</v>
      </c>
      <c r="F280" s="53" t="s">
        <v>268</v>
      </c>
      <c r="G280" s="34" t="s">
        <v>577</v>
      </c>
      <c r="H280" s="34" t="s">
        <v>31</v>
      </c>
      <c r="I280" s="33"/>
      <c r="J280" s="42"/>
      <c r="K280" s="43"/>
      <c r="L280" s="44"/>
      <c r="M28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80" s="38">
        <f>Tableau13452729313335374951944325[[#This Row],[MONTANT OPERATION]]+Tableau13452729313335374951944325[[#This Row],[POS  FUSIONNEE CPTE AVANT OP]]</f>
        <v>0</v>
      </c>
      <c r="O28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80" s="39" t="e">
        <f>Tableau13452729313335374951944325[[#This Row],[DEPASSEMENT TOTAL SUR AUTO
]]/-Tableau13452729313335374951944325[[#This Row],[MONTANT AUTO]]</f>
        <v>#VALUE!</v>
      </c>
      <c r="Q280" s="33"/>
      <c r="R280" s="33"/>
      <c r="S280" s="33"/>
      <c r="T28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80" s="57">
        <f>ABS(Tableau13452729313335374951944325[[#This Row],[MONTANT DEPASSEMENT]]*0.005)</f>
        <v>0</v>
      </c>
      <c r="V280" s="33"/>
      <c r="W280" s="33"/>
      <c r="X280" s="33"/>
      <c r="Y280" s="33"/>
    </row>
    <row r="281" spans="1:25" x14ac:dyDescent="0.25">
      <c r="A281" s="33"/>
      <c r="B281" s="34">
        <v>500</v>
      </c>
      <c r="C281" s="34" t="s">
        <v>667</v>
      </c>
      <c r="D281" s="53" t="s">
        <v>668</v>
      </c>
      <c r="E281" s="53" t="s">
        <v>669</v>
      </c>
      <c r="F281" s="53" t="s">
        <v>406</v>
      </c>
      <c r="G281" s="34" t="s">
        <v>670</v>
      </c>
      <c r="H281" s="34" t="s">
        <v>31</v>
      </c>
      <c r="I281" s="33"/>
      <c r="J281" s="42"/>
      <c r="K281" s="43"/>
      <c r="L281" s="44"/>
      <c r="M28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81" s="38">
        <f>Tableau13452729313335374951944325[[#This Row],[MONTANT OPERATION]]+Tableau13452729313335374951944325[[#This Row],[POS  FUSIONNEE CPTE AVANT OP]]</f>
        <v>0</v>
      </c>
      <c r="O28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81" s="39" t="e">
        <f>Tableau13452729313335374951944325[[#This Row],[DEPASSEMENT TOTAL SUR AUTO
]]/-Tableau13452729313335374951944325[[#This Row],[MONTANT AUTO]]</f>
        <v>#VALUE!</v>
      </c>
      <c r="Q281" s="33"/>
      <c r="R281" s="33"/>
      <c r="S281" s="33"/>
      <c r="T28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81" s="57">
        <f>ABS(Tableau13452729313335374951944325[[#This Row],[MONTANT DEPASSEMENT]]*0.005)</f>
        <v>0</v>
      </c>
      <c r="V281" s="33"/>
      <c r="W281" s="33"/>
      <c r="X281" s="33"/>
      <c r="Y281" s="33"/>
    </row>
    <row r="282" spans="1:25" x14ac:dyDescent="0.25">
      <c r="A282" s="33"/>
      <c r="B282" s="34">
        <v>803</v>
      </c>
      <c r="C282" s="34" t="s">
        <v>447</v>
      </c>
      <c r="D282" s="53" t="s">
        <v>407</v>
      </c>
      <c r="E282" s="53" t="s">
        <v>408</v>
      </c>
      <c r="F282" s="53" t="s">
        <v>279</v>
      </c>
      <c r="G282" s="34" t="s">
        <v>578</v>
      </c>
      <c r="H282" s="34" t="s">
        <v>31</v>
      </c>
      <c r="I282" s="33"/>
      <c r="J282" s="42"/>
      <c r="K282" s="43"/>
      <c r="L282" s="44"/>
      <c r="M28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82" s="38">
        <f>Tableau13452729313335374951944325[[#This Row],[MONTANT OPERATION]]+Tableau13452729313335374951944325[[#This Row],[POS  FUSIONNEE CPTE AVANT OP]]</f>
        <v>0</v>
      </c>
      <c r="O28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82" s="39" t="e">
        <f>Tableau13452729313335374951944325[[#This Row],[DEPASSEMENT TOTAL SUR AUTO
]]/-Tableau13452729313335374951944325[[#This Row],[MONTANT AUTO]]</f>
        <v>#VALUE!</v>
      </c>
      <c r="Q282" s="33"/>
      <c r="R282" s="33"/>
      <c r="S282" s="33"/>
      <c r="T28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82" s="57">
        <f>ABS(Tableau13452729313335374951944325[[#This Row],[MONTANT DEPASSEMENT]]*0.005)</f>
        <v>0</v>
      </c>
      <c r="V282" s="33"/>
      <c r="W282" s="33"/>
      <c r="X282" s="33"/>
      <c r="Y282" s="33"/>
    </row>
    <row r="283" spans="1:25" x14ac:dyDescent="0.25">
      <c r="A283" s="33"/>
      <c r="B283" s="34">
        <v>505</v>
      </c>
      <c r="C283" s="34" t="s">
        <v>579</v>
      </c>
      <c r="D283" s="53" t="s">
        <v>313</v>
      </c>
      <c r="E283" s="53" t="s">
        <v>314</v>
      </c>
      <c r="F283" s="53" t="s">
        <v>273</v>
      </c>
      <c r="G283" s="34" t="s">
        <v>580</v>
      </c>
      <c r="H283" s="34" t="s">
        <v>31</v>
      </c>
      <c r="I283" s="33"/>
      <c r="J283" s="42"/>
      <c r="K283" s="43"/>
      <c r="L283" s="44"/>
      <c r="M28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83" s="38">
        <f>Tableau13452729313335374951944325[[#This Row],[MONTANT OPERATION]]+Tableau13452729313335374951944325[[#This Row],[POS  FUSIONNEE CPTE AVANT OP]]</f>
        <v>0</v>
      </c>
      <c r="O28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83" s="39" t="e">
        <f>Tableau13452729313335374951944325[[#This Row],[DEPASSEMENT TOTAL SUR AUTO
]]/-Tableau13452729313335374951944325[[#This Row],[MONTANT AUTO]]</f>
        <v>#VALUE!</v>
      </c>
      <c r="Q283" s="33"/>
      <c r="R283" s="33"/>
      <c r="S283" s="33"/>
      <c r="T28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83" s="57">
        <f>ABS(Tableau13452729313335374951944325[[#This Row],[MONTANT DEPASSEMENT]]*0.005)</f>
        <v>0</v>
      </c>
      <c r="V283" s="33"/>
      <c r="W283" s="33"/>
      <c r="X283" s="33"/>
      <c r="Y283" s="33"/>
    </row>
    <row r="284" spans="1:25" x14ac:dyDescent="0.25">
      <c r="A284" s="33"/>
      <c r="B284" s="34">
        <v>800</v>
      </c>
      <c r="C284" s="34" t="s">
        <v>444</v>
      </c>
      <c r="D284" s="53" t="s">
        <v>167</v>
      </c>
      <c r="E284" s="53" t="s">
        <v>168</v>
      </c>
      <c r="F284" s="53" t="s">
        <v>210</v>
      </c>
      <c r="G284" s="34" t="s">
        <v>581</v>
      </c>
      <c r="H284" s="34" t="s">
        <v>31</v>
      </c>
      <c r="I284" s="33"/>
      <c r="J284" s="42"/>
      <c r="K284" s="43"/>
      <c r="L284" s="44"/>
      <c r="M28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84" s="38">
        <f>Tableau13452729313335374951944325[[#This Row],[MONTANT OPERATION]]+Tableau13452729313335374951944325[[#This Row],[POS  FUSIONNEE CPTE AVANT OP]]</f>
        <v>0</v>
      </c>
      <c r="O28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84" s="39" t="e">
        <f>Tableau13452729313335374951944325[[#This Row],[DEPASSEMENT TOTAL SUR AUTO
]]/-Tableau13452729313335374951944325[[#This Row],[MONTANT AUTO]]</f>
        <v>#VALUE!</v>
      </c>
      <c r="Q284" s="33"/>
      <c r="R284" s="33"/>
      <c r="S284" s="33"/>
      <c r="T28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84" s="57">
        <f>ABS(Tableau13452729313335374951944325[[#This Row],[MONTANT DEPASSEMENT]]*0.005)</f>
        <v>0</v>
      </c>
      <c r="V284" s="33"/>
      <c r="W284" s="33"/>
      <c r="X284" s="33"/>
      <c r="Y284" s="33"/>
    </row>
    <row r="285" spans="1:25" x14ac:dyDescent="0.25">
      <c r="A285" s="33"/>
      <c r="B285" s="34">
        <v>803</v>
      </c>
      <c r="C285" s="34" t="s">
        <v>447</v>
      </c>
      <c r="D285" s="53" t="s">
        <v>307</v>
      </c>
      <c r="E285" s="53" t="s">
        <v>308</v>
      </c>
      <c r="F285" s="53" t="s">
        <v>242</v>
      </c>
      <c r="G285" s="34" t="s">
        <v>582</v>
      </c>
      <c r="H285" s="34" t="s">
        <v>31</v>
      </c>
      <c r="I285" s="33"/>
      <c r="J285" s="42"/>
      <c r="K285" s="43"/>
      <c r="L285" s="44"/>
      <c r="M28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85" s="38">
        <f>Tableau13452729313335374951944325[[#This Row],[MONTANT OPERATION]]+Tableau13452729313335374951944325[[#This Row],[POS  FUSIONNEE CPTE AVANT OP]]</f>
        <v>0</v>
      </c>
      <c r="O28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85" s="39" t="e">
        <f>Tableau13452729313335374951944325[[#This Row],[DEPASSEMENT TOTAL SUR AUTO
]]/-Tableau13452729313335374951944325[[#This Row],[MONTANT AUTO]]</f>
        <v>#VALUE!</v>
      </c>
      <c r="Q285" s="33"/>
      <c r="R285" s="33"/>
      <c r="S285" s="33"/>
      <c r="T28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85" s="57">
        <f>ABS(Tableau13452729313335374951944325[[#This Row],[MONTANT DEPASSEMENT]]*0.005)</f>
        <v>0</v>
      </c>
      <c r="V285" s="33"/>
      <c r="W285" s="33"/>
      <c r="X285" s="33"/>
      <c r="Y285" s="33"/>
    </row>
    <row r="286" spans="1:25" x14ac:dyDescent="0.25">
      <c r="A286" s="33"/>
      <c r="B286" s="34">
        <v>803</v>
      </c>
      <c r="C286" s="34" t="s">
        <v>447</v>
      </c>
      <c r="D286" s="53" t="s">
        <v>583</v>
      </c>
      <c r="E286" s="53" t="s">
        <v>584</v>
      </c>
      <c r="F286" s="53" t="s">
        <v>424</v>
      </c>
      <c r="G286" s="34" t="s">
        <v>585</v>
      </c>
      <c r="H286" s="34" t="s">
        <v>31</v>
      </c>
      <c r="I286" s="33"/>
      <c r="J286" s="42"/>
      <c r="K286" s="43"/>
      <c r="L286" s="44"/>
      <c r="M28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86" s="38">
        <f>Tableau13452729313335374951944325[[#This Row],[MONTANT OPERATION]]+Tableau13452729313335374951944325[[#This Row],[POS  FUSIONNEE CPTE AVANT OP]]</f>
        <v>0</v>
      </c>
      <c r="O28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86" s="39" t="e">
        <f>Tableau13452729313335374951944325[[#This Row],[DEPASSEMENT TOTAL SUR AUTO
]]/-Tableau13452729313335374951944325[[#This Row],[MONTANT AUTO]]</f>
        <v>#VALUE!</v>
      </c>
      <c r="Q286" s="33"/>
      <c r="R286" s="33"/>
      <c r="S286" s="33"/>
      <c r="T28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86" s="57">
        <f>ABS(Tableau13452729313335374951944325[[#This Row],[MONTANT DEPASSEMENT]]*0.005)</f>
        <v>0</v>
      </c>
      <c r="V286" s="33"/>
      <c r="W286" s="33"/>
      <c r="X286" s="33"/>
      <c r="Y286" s="33"/>
    </row>
    <row r="287" spans="1:25" x14ac:dyDescent="0.25">
      <c r="A287" s="33"/>
      <c r="B287" s="34">
        <v>550</v>
      </c>
      <c r="C287" s="34" t="s">
        <v>446</v>
      </c>
      <c r="D287" s="53" t="s">
        <v>671</v>
      </c>
      <c r="E287" s="53" t="s">
        <v>672</v>
      </c>
      <c r="F287" s="53" t="s">
        <v>210</v>
      </c>
      <c r="G287" s="34" t="s">
        <v>673</v>
      </c>
      <c r="H287" s="34" t="s">
        <v>50</v>
      </c>
      <c r="I287" s="33"/>
      <c r="J287" s="42"/>
      <c r="K287" s="43"/>
      <c r="L287" s="44"/>
      <c r="M28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87" s="38">
        <f>Tableau13452729313335374951944325[[#This Row],[MONTANT OPERATION]]+Tableau13452729313335374951944325[[#This Row],[POS  FUSIONNEE CPTE AVANT OP]]</f>
        <v>0</v>
      </c>
      <c r="O28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87" s="39" t="e">
        <f>Tableau13452729313335374951944325[[#This Row],[DEPASSEMENT TOTAL SUR AUTO
]]/-Tableau13452729313335374951944325[[#This Row],[MONTANT AUTO]]</f>
        <v>#VALUE!</v>
      </c>
      <c r="Q287" s="33"/>
      <c r="R287" s="33"/>
      <c r="S287" s="33"/>
      <c r="T28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87" s="57">
        <f>ABS(Tableau13452729313335374951944325[[#This Row],[MONTANT DEPASSEMENT]]*0.005)</f>
        <v>0</v>
      </c>
      <c r="V287" s="33"/>
      <c r="W287" s="33"/>
      <c r="X287" s="33"/>
      <c r="Y287" s="33"/>
    </row>
    <row r="288" spans="1:25" x14ac:dyDescent="0.25">
      <c r="A288" s="33"/>
      <c r="B288" s="34">
        <v>716</v>
      </c>
      <c r="C288" s="34" t="s">
        <v>563</v>
      </c>
      <c r="D288" s="53" t="s">
        <v>586</v>
      </c>
      <c r="E288" s="53" t="s">
        <v>587</v>
      </c>
      <c r="F288" s="53" t="s">
        <v>210</v>
      </c>
      <c r="G288" s="34" t="s">
        <v>588</v>
      </c>
      <c r="H288" s="34" t="s">
        <v>31</v>
      </c>
      <c r="I288" s="33"/>
      <c r="J288" s="42"/>
      <c r="K288" s="43"/>
      <c r="L288" s="44"/>
      <c r="M28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88" s="38">
        <f>Tableau13452729313335374951944325[[#This Row],[MONTANT OPERATION]]+Tableau13452729313335374951944325[[#This Row],[POS  FUSIONNEE CPTE AVANT OP]]</f>
        <v>0</v>
      </c>
      <c r="O28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88" s="39" t="e">
        <f>Tableau13452729313335374951944325[[#This Row],[DEPASSEMENT TOTAL SUR AUTO
]]/-Tableau13452729313335374951944325[[#This Row],[MONTANT AUTO]]</f>
        <v>#VALUE!</v>
      </c>
      <c r="Q288" s="33"/>
      <c r="R288" s="33"/>
      <c r="S288" s="33"/>
      <c r="T28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88" s="57">
        <f>ABS(Tableau13452729313335374951944325[[#This Row],[MONTANT DEPASSEMENT]]*0.005)</f>
        <v>0</v>
      </c>
      <c r="V288" s="33"/>
      <c r="W288" s="33"/>
      <c r="X288" s="33"/>
      <c r="Y288" s="33"/>
    </row>
    <row r="289" spans="1:25" x14ac:dyDescent="0.25">
      <c r="A289" s="33"/>
      <c r="B289" s="34">
        <v>711</v>
      </c>
      <c r="C289" s="34" t="s">
        <v>427</v>
      </c>
      <c r="D289" s="53" t="s">
        <v>589</v>
      </c>
      <c r="E289" s="53" t="s">
        <v>590</v>
      </c>
      <c r="F289" s="53" t="s">
        <v>89</v>
      </c>
      <c r="G289" s="34" t="s">
        <v>591</v>
      </c>
      <c r="H289" s="34" t="s">
        <v>27</v>
      </c>
      <c r="I289" s="33"/>
      <c r="J289" s="42"/>
      <c r="K289" s="43"/>
      <c r="L289" s="44"/>
      <c r="M28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89" s="38">
        <f>Tableau13452729313335374951944325[[#This Row],[MONTANT OPERATION]]+Tableau13452729313335374951944325[[#This Row],[POS  FUSIONNEE CPTE AVANT OP]]</f>
        <v>0</v>
      </c>
      <c r="O28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89" s="39" t="e">
        <f>Tableau13452729313335374951944325[[#This Row],[DEPASSEMENT TOTAL SUR AUTO
]]/-Tableau13452729313335374951944325[[#This Row],[MONTANT AUTO]]</f>
        <v>#VALUE!</v>
      </c>
      <c r="Q289" s="33"/>
      <c r="R289" s="33"/>
      <c r="S289" s="33"/>
      <c r="T28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89" s="57">
        <f>ABS(Tableau13452729313335374951944325[[#This Row],[MONTANT DEPASSEMENT]]*0.005)</f>
        <v>0</v>
      </c>
      <c r="V289" s="33"/>
      <c r="W289" s="33"/>
      <c r="X289" s="33"/>
      <c r="Y289" s="33"/>
    </row>
    <row r="290" spans="1:25" x14ac:dyDescent="0.25">
      <c r="A290" s="33"/>
      <c r="B290" s="34">
        <v>800</v>
      </c>
      <c r="C290" s="34" t="s">
        <v>444</v>
      </c>
      <c r="D290" s="53" t="s">
        <v>73</v>
      </c>
      <c r="E290" s="53" t="s">
        <v>74</v>
      </c>
      <c r="F290" s="53" t="s">
        <v>330</v>
      </c>
      <c r="G290" s="34" t="s">
        <v>592</v>
      </c>
      <c r="H290" s="34" t="s">
        <v>31</v>
      </c>
      <c r="I290" s="33"/>
      <c r="J290" s="42"/>
      <c r="K290" s="43"/>
      <c r="L290" s="44"/>
      <c r="M29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90" s="38">
        <f>Tableau13452729313335374951944325[[#This Row],[MONTANT OPERATION]]+Tableau13452729313335374951944325[[#This Row],[POS  FUSIONNEE CPTE AVANT OP]]</f>
        <v>0</v>
      </c>
      <c r="O29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90" s="39" t="e">
        <f>Tableau13452729313335374951944325[[#This Row],[DEPASSEMENT TOTAL SUR AUTO
]]/-Tableau13452729313335374951944325[[#This Row],[MONTANT AUTO]]</f>
        <v>#VALUE!</v>
      </c>
      <c r="Q290" s="33"/>
      <c r="R290" s="33"/>
      <c r="S290" s="33"/>
      <c r="T29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90" s="57">
        <f>ABS(Tableau13452729313335374951944325[[#This Row],[MONTANT DEPASSEMENT]]*0.005)</f>
        <v>0</v>
      </c>
      <c r="V290" s="33"/>
      <c r="W290" s="33"/>
      <c r="X290" s="33"/>
      <c r="Y290" s="33"/>
    </row>
    <row r="291" spans="1:25" x14ac:dyDescent="0.25">
      <c r="A291" s="33"/>
      <c r="B291" s="34">
        <v>800</v>
      </c>
      <c r="C291" s="34" t="s">
        <v>444</v>
      </c>
      <c r="D291" s="53" t="s">
        <v>226</v>
      </c>
      <c r="E291" s="53" t="s">
        <v>593</v>
      </c>
      <c r="F291" s="53" t="s">
        <v>199</v>
      </c>
      <c r="G291" s="34" t="s">
        <v>558</v>
      </c>
      <c r="H291" s="34" t="s">
        <v>162</v>
      </c>
      <c r="I291" s="33"/>
      <c r="J291" s="42"/>
      <c r="K291" s="43"/>
      <c r="L291" s="44"/>
      <c r="M29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91" s="38">
        <f>Tableau13452729313335374951944325[[#This Row],[MONTANT OPERATION]]+Tableau13452729313335374951944325[[#This Row],[POS  FUSIONNEE CPTE AVANT OP]]</f>
        <v>0</v>
      </c>
      <c r="O29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91" s="39" t="e">
        <f>Tableau13452729313335374951944325[[#This Row],[DEPASSEMENT TOTAL SUR AUTO
]]/-Tableau13452729313335374951944325[[#This Row],[MONTANT AUTO]]</f>
        <v>#VALUE!</v>
      </c>
      <c r="Q291" s="33"/>
      <c r="R291" s="33"/>
      <c r="S291" s="33"/>
      <c r="T29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91" s="57">
        <f>ABS(Tableau13452729313335374951944325[[#This Row],[MONTANT DEPASSEMENT]]*0.005)</f>
        <v>0</v>
      </c>
      <c r="V291" s="33"/>
      <c r="W291" s="33"/>
      <c r="X291" s="33"/>
      <c r="Y291" s="33"/>
    </row>
    <row r="292" spans="1:25" x14ac:dyDescent="0.25">
      <c r="A292" s="33"/>
      <c r="B292" s="34">
        <v>800</v>
      </c>
      <c r="C292" s="34" t="s">
        <v>444</v>
      </c>
      <c r="D292" s="53" t="s">
        <v>226</v>
      </c>
      <c r="E292" s="53" t="s">
        <v>425</v>
      </c>
      <c r="F292" s="53" t="s">
        <v>152</v>
      </c>
      <c r="G292" s="34" t="s">
        <v>558</v>
      </c>
      <c r="H292" s="34" t="s">
        <v>31</v>
      </c>
      <c r="I292" s="33"/>
      <c r="J292" s="42"/>
      <c r="K292" s="43"/>
      <c r="L292" s="44"/>
      <c r="M29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92" s="38">
        <f>Tableau13452729313335374951944325[[#This Row],[MONTANT OPERATION]]+Tableau13452729313335374951944325[[#This Row],[POS  FUSIONNEE CPTE AVANT OP]]</f>
        <v>0</v>
      </c>
      <c r="O29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92" s="39" t="e">
        <f>Tableau13452729313335374951944325[[#This Row],[DEPASSEMENT TOTAL SUR AUTO
]]/-Tableau13452729313335374951944325[[#This Row],[MONTANT AUTO]]</f>
        <v>#VALUE!</v>
      </c>
      <c r="Q292" s="33"/>
      <c r="R292" s="33"/>
      <c r="S292" s="33"/>
      <c r="T29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92" s="57">
        <f>ABS(Tableau13452729313335374951944325[[#This Row],[MONTANT DEPASSEMENT]]*0.005)</f>
        <v>0</v>
      </c>
      <c r="V292" s="33"/>
      <c r="W292" s="33"/>
      <c r="X292" s="33"/>
      <c r="Y292" s="33"/>
    </row>
    <row r="293" spans="1:25" x14ac:dyDescent="0.25">
      <c r="A293" s="33"/>
      <c r="B293" s="34">
        <v>800</v>
      </c>
      <c r="C293" s="34" t="s">
        <v>444</v>
      </c>
      <c r="D293" s="53" t="s">
        <v>226</v>
      </c>
      <c r="E293" s="53" t="s">
        <v>594</v>
      </c>
      <c r="F293" s="53" t="s">
        <v>324</v>
      </c>
      <c r="G293" s="34" t="s">
        <v>558</v>
      </c>
      <c r="H293" s="34" t="s">
        <v>31</v>
      </c>
      <c r="I293" s="33"/>
      <c r="J293" s="42"/>
      <c r="K293" s="43"/>
      <c r="L293" s="44"/>
      <c r="M29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93" s="38">
        <f>Tableau13452729313335374951944325[[#This Row],[MONTANT OPERATION]]+Tableau13452729313335374951944325[[#This Row],[POS  FUSIONNEE CPTE AVANT OP]]</f>
        <v>0</v>
      </c>
      <c r="O29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93" s="39" t="e">
        <f>Tableau13452729313335374951944325[[#This Row],[DEPASSEMENT TOTAL SUR AUTO
]]/-Tableau13452729313335374951944325[[#This Row],[MONTANT AUTO]]</f>
        <v>#VALUE!</v>
      </c>
      <c r="Q293" s="33"/>
      <c r="R293" s="33"/>
      <c r="S293" s="33"/>
      <c r="T29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93" s="57">
        <f>ABS(Tableau13452729313335374951944325[[#This Row],[MONTANT DEPASSEMENT]]*0.005)</f>
        <v>0</v>
      </c>
      <c r="V293" s="33"/>
      <c r="W293" s="33"/>
      <c r="X293" s="33"/>
      <c r="Y293" s="33"/>
    </row>
    <row r="294" spans="1:25" x14ac:dyDescent="0.25">
      <c r="A294" s="33"/>
      <c r="B294" s="34">
        <v>800</v>
      </c>
      <c r="C294" s="34" t="s">
        <v>444</v>
      </c>
      <c r="D294" s="53" t="s">
        <v>394</v>
      </c>
      <c r="E294" s="53" t="s">
        <v>395</v>
      </c>
      <c r="F294" s="53" t="s">
        <v>279</v>
      </c>
      <c r="G294" s="34" t="s">
        <v>595</v>
      </c>
      <c r="H294" s="34" t="s">
        <v>27</v>
      </c>
      <c r="I294" s="33"/>
      <c r="J294" s="42"/>
      <c r="K294" s="43"/>
      <c r="L294" s="44"/>
      <c r="M29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94" s="38">
        <f>Tableau13452729313335374951944325[[#This Row],[MONTANT OPERATION]]+Tableau13452729313335374951944325[[#This Row],[POS  FUSIONNEE CPTE AVANT OP]]</f>
        <v>0</v>
      </c>
      <c r="O29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94" s="39" t="e">
        <f>Tableau13452729313335374951944325[[#This Row],[DEPASSEMENT TOTAL SUR AUTO
]]/-Tableau13452729313335374951944325[[#This Row],[MONTANT AUTO]]</f>
        <v>#VALUE!</v>
      </c>
      <c r="Q294" s="33"/>
      <c r="R294" s="33"/>
      <c r="S294" s="33"/>
      <c r="T29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94" s="57">
        <f>ABS(Tableau13452729313335374951944325[[#This Row],[MONTANT DEPASSEMENT]]*0.005)</f>
        <v>0</v>
      </c>
      <c r="V294" s="33"/>
      <c r="W294" s="33"/>
      <c r="X294" s="33"/>
      <c r="Y294" s="33"/>
    </row>
    <row r="295" spans="1:25" x14ac:dyDescent="0.25">
      <c r="A295" s="33"/>
      <c r="B295" s="34">
        <v>803</v>
      </c>
      <c r="C295" s="34" t="s">
        <v>447</v>
      </c>
      <c r="D295" s="53" t="s">
        <v>56</v>
      </c>
      <c r="E295" s="53" t="s">
        <v>57</v>
      </c>
      <c r="F295" s="53" t="s">
        <v>116</v>
      </c>
      <c r="G295" s="34" t="s">
        <v>596</v>
      </c>
      <c r="H295" s="34" t="s">
        <v>31</v>
      </c>
      <c r="I295" s="33"/>
      <c r="J295" s="42"/>
      <c r="K295" s="43"/>
      <c r="L295" s="44"/>
      <c r="M29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95" s="38">
        <f>Tableau13452729313335374951944325[[#This Row],[MONTANT OPERATION]]+Tableau13452729313335374951944325[[#This Row],[POS  FUSIONNEE CPTE AVANT OP]]</f>
        <v>0</v>
      </c>
      <c r="O29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95" s="39" t="e">
        <f>Tableau13452729313335374951944325[[#This Row],[DEPASSEMENT TOTAL SUR AUTO
]]/-Tableau13452729313335374951944325[[#This Row],[MONTANT AUTO]]</f>
        <v>#VALUE!</v>
      </c>
      <c r="Q295" s="33"/>
      <c r="R295" s="33"/>
      <c r="S295" s="33"/>
      <c r="T29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95" s="57">
        <f>ABS(Tableau13452729313335374951944325[[#This Row],[MONTANT DEPASSEMENT]]*0.005)</f>
        <v>0</v>
      </c>
      <c r="V295" s="33"/>
      <c r="W295" s="33"/>
      <c r="X295" s="33"/>
      <c r="Y295" s="33"/>
    </row>
    <row r="296" spans="1:25" x14ac:dyDescent="0.25">
      <c r="A296" s="33"/>
      <c r="B296" s="34">
        <v>803</v>
      </c>
      <c r="C296" s="34" t="s">
        <v>447</v>
      </c>
      <c r="D296" s="53" t="s">
        <v>597</v>
      </c>
      <c r="E296" s="53" t="s">
        <v>598</v>
      </c>
      <c r="F296" s="53" t="s">
        <v>77</v>
      </c>
      <c r="G296" s="34" t="s">
        <v>599</v>
      </c>
      <c r="H296" s="34" t="s">
        <v>31</v>
      </c>
      <c r="I296" s="33"/>
      <c r="J296" s="42"/>
      <c r="K296" s="43"/>
      <c r="L296" s="44"/>
      <c r="M29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96" s="38">
        <f>Tableau13452729313335374951944325[[#This Row],[MONTANT OPERATION]]+Tableau13452729313335374951944325[[#This Row],[POS  FUSIONNEE CPTE AVANT OP]]</f>
        <v>0</v>
      </c>
      <c r="O29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96" s="39" t="e">
        <f>Tableau13452729313335374951944325[[#This Row],[DEPASSEMENT TOTAL SUR AUTO
]]/-Tableau13452729313335374951944325[[#This Row],[MONTANT AUTO]]</f>
        <v>#VALUE!</v>
      </c>
      <c r="Q296" s="33"/>
      <c r="R296" s="33"/>
      <c r="S296" s="33"/>
      <c r="T29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96" s="57">
        <f>ABS(Tableau13452729313335374951944325[[#This Row],[MONTANT DEPASSEMENT]]*0.005)</f>
        <v>0</v>
      </c>
      <c r="V296" s="33"/>
      <c r="W296" s="33"/>
      <c r="X296" s="33"/>
      <c r="Y296" s="33"/>
    </row>
    <row r="297" spans="1:25" x14ac:dyDescent="0.25">
      <c r="A297" s="33"/>
      <c r="B297" s="34">
        <v>803</v>
      </c>
      <c r="C297" s="34" t="s">
        <v>447</v>
      </c>
      <c r="D297" s="53" t="s">
        <v>274</v>
      </c>
      <c r="E297" s="53" t="s">
        <v>275</v>
      </c>
      <c r="F297" s="53" t="s">
        <v>276</v>
      </c>
      <c r="G297" s="34" t="s">
        <v>600</v>
      </c>
      <c r="H297" s="34" t="s">
        <v>31</v>
      </c>
      <c r="I297" s="33"/>
      <c r="J297" s="42"/>
      <c r="K297" s="43"/>
      <c r="L297" s="44"/>
      <c r="M29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97" s="38">
        <f>Tableau13452729313335374951944325[[#This Row],[MONTANT OPERATION]]+Tableau13452729313335374951944325[[#This Row],[POS  FUSIONNEE CPTE AVANT OP]]</f>
        <v>0</v>
      </c>
      <c r="O29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97" s="39" t="e">
        <f>Tableau13452729313335374951944325[[#This Row],[DEPASSEMENT TOTAL SUR AUTO
]]/-Tableau13452729313335374951944325[[#This Row],[MONTANT AUTO]]</f>
        <v>#VALUE!</v>
      </c>
      <c r="Q297" s="33"/>
      <c r="R297" s="33"/>
      <c r="S297" s="33"/>
      <c r="T29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97" s="57">
        <f>ABS(Tableau13452729313335374951944325[[#This Row],[MONTANT DEPASSEMENT]]*0.005)</f>
        <v>0</v>
      </c>
      <c r="V297" s="33"/>
      <c r="W297" s="33"/>
      <c r="X297" s="33"/>
      <c r="Y297" s="33"/>
    </row>
    <row r="298" spans="1:25" x14ac:dyDescent="0.25">
      <c r="A298" s="33"/>
      <c r="B298" s="34">
        <v>803</v>
      </c>
      <c r="C298" s="34" t="s">
        <v>447</v>
      </c>
      <c r="D298" s="53" t="s">
        <v>352</v>
      </c>
      <c r="E298" s="53" t="s">
        <v>353</v>
      </c>
      <c r="F298" s="53" t="s">
        <v>266</v>
      </c>
      <c r="G298" s="34" t="s">
        <v>601</v>
      </c>
      <c r="H298" s="34" t="s">
        <v>31</v>
      </c>
      <c r="I298" s="33"/>
      <c r="J298" s="42"/>
      <c r="K298" s="43"/>
      <c r="L298" s="44"/>
      <c r="M29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98" s="38">
        <f>Tableau13452729313335374951944325[[#This Row],[MONTANT OPERATION]]+Tableau13452729313335374951944325[[#This Row],[POS  FUSIONNEE CPTE AVANT OP]]</f>
        <v>0</v>
      </c>
      <c r="O29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98" s="39" t="e">
        <f>Tableau13452729313335374951944325[[#This Row],[DEPASSEMENT TOTAL SUR AUTO
]]/-Tableau13452729313335374951944325[[#This Row],[MONTANT AUTO]]</f>
        <v>#VALUE!</v>
      </c>
      <c r="Q298" s="33"/>
      <c r="R298" s="33"/>
      <c r="S298" s="33"/>
      <c r="T29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98" s="57">
        <f>ABS(Tableau13452729313335374951944325[[#This Row],[MONTANT DEPASSEMENT]]*0.005)</f>
        <v>0</v>
      </c>
      <c r="V298" s="33"/>
      <c r="W298" s="33"/>
      <c r="X298" s="33"/>
      <c r="Y298" s="33"/>
    </row>
    <row r="299" spans="1:25" x14ac:dyDescent="0.25">
      <c r="A299" s="33"/>
      <c r="B299" s="34">
        <v>803</v>
      </c>
      <c r="C299" s="34" t="s">
        <v>447</v>
      </c>
      <c r="D299" s="53" t="s">
        <v>402</v>
      </c>
      <c r="E299" s="53" t="s">
        <v>403</v>
      </c>
      <c r="F299" s="53" t="s">
        <v>304</v>
      </c>
      <c r="G299" s="34" t="s">
        <v>602</v>
      </c>
      <c r="H299" s="34" t="s">
        <v>31</v>
      </c>
      <c r="I299" s="33"/>
      <c r="J299" s="42"/>
      <c r="K299" s="43"/>
      <c r="L299" s="44"/>
      <c r="M29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299" s="38">
        <f>Tableau13452729313335374951944325[[#This Row],[MONTANT OPERATION]]+Tableau13452729313335374951944325[[#This Row],[POS  FUSIONNEE CPTE AVANT OP]]</f>
        <v>0</v>
      </c>
      <c r="O29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299" s="39" t="e">
        <f>Tableau13452729313335374951944325[[#This Row],[DEPASSEMENT TOTAL SUR AUTO
]]/-Tableau13452729313335374951944325[[#This Row],[MONTANT AUTO]]</f>
        <v>#VALUE!</v>
      </c>
      <c r="Q299" s="33"/>
      <c r="R299" s="33"/>
      <c r="S299" s="33"/>
      <c r="T29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299" s="57">
        <f>ABS(Tableau13452729313335374951944325[[#This Row],[MONTANT DEPASSEMENT]]*0.005)</f>
        <v>0</v>
      </c>
      <c r="V299" s="33"/>
      <c r="W299" s="33"/>
      <c r="X299" s="33"/>
      <c r="Y299" s="33"/>
    </row>
    <row r="300" spans="1:25" x14ac:dyDescent="0.25">
      <c r="A300" s="33"/>
      <c r="B300" s="34">
        <v>803</v>
      </c>
      <c r="C300" s="34" t="s">
        <v>447</v>
      </c>
      <c r="D300" s="53" t="s">
        <v>384</v>
      </c>
      <c r="E300" s="53" t="s">
        <v>385</v>
      </c>
      <c r="F300" s="53" t="s">
        <v>303</v>
      </c>
      <c r="G300" s="34" t="s">
        <v>603</v>
      </c>
      <c r="H300" s="34" t="s">
        <v>31</v>
      </c>
      <c r="I300" s="33"/>
      <c r="J300" s="42"/>
      <c r="K300" s="43"/>
      <c r="L300" s="44"/>
      <c r="M30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00" s="38">
        <f>Tableau13452729313335374951944325[[#This Row],[MONTANT OPERATION]]+Tableau13452729313335374951944325[[#This Row],[POS  FUSIONNEE CPTE AVANT OP]]</f>
        <v>0</v>
      </c>
      <c r="O30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00" s="39" t="e">
        <f>Tableau13452729313335374951944325[[#This Row],[DEPASSEMENT TOTAL SUR AUTO
]]/-Tableau13452729313335374951944325[[#This Row],[MONTANT AUTO]]</f>
        <v>#VALUE!</v>
      </c>
      <c r="Q300" s="33"/>
      <c r="R300" s="33"/>
      <c r="S300" s="33"/>
      <c r="T30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00" s="57">
        <f>ABS(Tableau13452729313335374951944325[[#This Row],[MONTANT DEPASSEMENT]]*0.005)</f>
        <v>0</v>
      </c>
      <c r="V300" s="33"/>
      <c r="W300" s="33"/>
      <c r="X300" s="33"/>
      <c r="Y300" s="33"/>
    </row>
    <row r="301" spans="1:25" x14ac:dyDescent="0.25">
      <c r="A301" s="33"/>
      <c r="B301" s="34">
        <v>806</v>
      </c>
      <c r="C301" s="34" t="s">
        <v>492</v>
      </c>
      <c r="D301" s="53" t="s">
        <v>604</v>
      </c>
      <c r="E301" s="53" t="s">
        <v>605</v>
      </c>
      <c r="F301" s="53" t="s">
        <v>284</v>
      </c>
      <c r="G301" s="34" t="s">
        <v>606</v>
      </c>
      <c r="H301" s="34" t="s">
        <v>31</v>
      </c>
      <c r="I301" s="33"/>
      <c r="J301" s="42"/>
      <c r="K301" s="43"/>
      <c r="L301" s="44"/>
      <c r="M30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01" s="38">
        <f>Tableau13452729313335374951944325[[#This Row],[MONTANT OPERATION]]+Tableau13452729313335374951944325[[#This Row],[POS  FUSIONNEE CPTE AVANT OP]]</f>
        <v>0</v>
      </c>
      <c r="O30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01" s="39" t="e">
        <f>Tableau13452729313335374951944325[[#This Row],[DEPASSEMENT TOTAL SUR AUTO
]]/-Tableau13452729313335374951944325[[#This Row],[MONTANT AUTO]]</f>
        <v>#VALUE!</v>
      </c>
      <c r="Q301" s="33"/>
      <c r="R301" s="33"/>
      <c r="S301" s="33"/>
      <c r="T30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01" s="57">
        <f>ABS(Tableau13452729313335374951944325[[#This Row],[MONTANT DEPASSEMENT]]*0.005)</f>
        <v>0</v>
      </c>
      <c r="V301" s="33"/>
      <c r="W301" s="33"/>
      <c r="X301" s="33"/>
      <c r="Y301" s="33"/>
    </row>
    <row r="302" spans="1:25" x14ac:dyDescent="0.25">
      <c r="A302" s="33"/>
      <c r="B302" s="34">
        <v>806</v>
      </c>
      <c r="C302" s="34" t="s">
        <v>492</v>
      </c>
      <c r="D302" s="53" t="s">
        <v>334</v>
      </c>
      <c r="E302" s="53" t="s">
        <v>335</v>
      </c>
      <c r="F302" s="53" t="s">
        <v>116</v>
      </c>
      <c r="G302" s="34" t="s">
        <v>607</v>
      </c>
      <c r="H302" s="34" t="s">
        <v>31</v>
      </c>
      <c r="I302" s="33"/>
      <c r="J302" s="42"/>
      <c r="K302" s="43"/>
      <c r="L302" s="44"/>
      <c r="M30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02" s="38">
        <f>Tableau13452729313335374951944325[[#This Row],[MONTANT OPERATION]]+Tableau13452729313335374951944325[[#This Row],[POS  FUSIONNEE CPTE AVANT OP]]</f>
        <v>0</v>
      </c>
      <c r="O30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02" s="39" t="e">
        <f>Tableau13452729313335374951944325[[#This Row],[DEPASSEMENT TOTAL SUR AUTO
]]/-Tableau13452729313335374951944325[[#This Row],[MONTANT AUTO]]</f>
        <v>#VALUE!</v>
      </c>
      <c r="Q302" s="33"/>
      <c r="R302" s="33"/>
      <c r="S302" s="33"/>
      <c r="T30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02" s="57">
        <f>ABS(Tableau13452729313335374951944325[[#This Row],[MONTANT DEPASSEMENT]]*0.005)</f>
        <v>0</v>
      </c>
      <c r="V302" s="33"/>
      <c r="W302" s="33"/>
      <c r="X302" s="33"/>
      <c r="Y302" s="33"/>
    </row>
    <row r="303" spans="1:25" x14ac:dyDescent="0.25">
      <c r="A303" s="33"/>
      <c r="B303" s="34">
        <v>807</v>
      </c>
      <c r="C303" s="34" t="s">
        <v>442</v>
      </c>
      <c r="D303" s="53" t="s">
        <v>35</v>
      </c>
      <c r="E303" s="53" t="s">
        <v>36</v>
      </c>
      <c r="F303" s="53" t="s">
        <v>37</v>
      </c>
      <c r="G303" s="34" t="s">
        <v>608</v>
      </c>
      <c r="H303" s="34" t="s">
        <v>31</v>
      </c>
      <c r="I303" s="33"/>
      <c r="J303" s="42"/>
      <c r="K303" s="43"/>
      <c r="L303" s="44"/>
      <c r="M30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03" s="38">
        <f>Tableau13452729313335374951944325[[#This Row],[MONTANT OPERATION]]+Tableau13452729313335374951944325[[#This Row],[POS  FUSIONNEE CPTE AVANT OP]]</f>
        <v>0</v>
      </c>
      <c r="O30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03" s="39" t="e">
        <f>Tableau13452729313335374951944325[[#This Row],[DEPASSEMENT TOTAL SUR AUTO
]]/-Tableau13452729313335374951944325[[#This Row],[MONTANT AUTO]]</f>
        <v>#VALUE!</v>
      </c>
      <c r="Q303" s="33"/>
      <c r="R303" s="33"/>
      <c r="S303" s="33"/>
      <c r="T30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03" s="57">
        <f>ABS(Tableau13452729313335374951944325[[#This Row],[MONTANT DEPASSEMENT]]*0.005)</f>
        <v>0</v>
      </c>
      <c r="V303" s="33"/>
      <c r="W303" s="33"/>
      <c r="X303" s="33"/>
      <c r="Y303" s="33"/>
    </row>
    <row r="304" spans="1:25" x14ac:dyDescent="0.25">
      <c r="A304" s="33"/>
      <c r="B304" s="34">
        <v>807</v>
      </c>
      <c r="C304" s="34" t="s">
        <v>442</v>
      </c>
      <c r="D304" s="53" t="s">
        <v>176</v>
      </c>
      <c r="E304" s="53" t="s">
        <v>417</v>
      </c>
      <c r="F304" s="53" t="s">
        <v>266</v>
      </c>
      <c r="G304" s="34" t="s">
        <v>609</v>
      </c>
      <c r="H304" s="34" t="s">
        <v>93</v>
      </c>
      <c r="I304" s="33"/>
      <c r="J304" s="42"/>
      <c r="K304" s="43"/>
      <c r="L304" s="44"/>
      <c r="M30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04" s="38">
        <f>Tableau13452729313335374951944325[[#This Row],[MONTANT OPERATION]]+Tableau13452729313335374951944325[[#This Row],[POS  FUSIONNEE CPTE AVANT OP]]</f>
        <v>0</v>
      </c>
      <c r="O30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04" s="39" t="e">
        <f>Tableau13452729313335374951944325[[#This Row],[DEPASSEMENT TOTAL SUR AUTO
]]/-Tableau13452729313335374951944325[[#This Row],[MONTANT AUTO]]</f>
        <v>#VALUE!</v>
      </c>
      <c r="Q304" s="33"/>
      <c r="R304" s="33"/>
      <c r="S304" s="33"/>
      <c r="T30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04" s="57">
        <f>ABS(Tableau13452729313335374951944325[[#This Row],[MONTANT DEPASSEMENT]]*0.005)</f>
        <v>0</v>
      </c>
      <c r="V304" s="33"/>
      <c r="W304" s="33"/>
      <c r="X304" s="33"/>
      <c r="Y304" s="33"/>
    </row>
    <row r="305" spans="1:25" x14ac:dyDescent="0.25">
      <c r="A305" s="33"/>
      <c r="B305" s="34">
        <v>807</v>
      </c>
      <c r="C305" s="34" t="s">
        <v>442</v>
      </c>
      <c r="D305" s="53" t="s">
        <v>253</v>
      </c>
      <c r="E305" s="53" t="s">
        <v>254</v>
      </c>
      <c r="F305" s="53" t="s">
        <v>37</v>
      </c>
      <c r="G305" s="34" t="s">
        <v>610</v>
      </c>
      <c r="H305" s="34" t="s">
        <v>31</v>
      </c>
      <c r="I305" s="33"/>
      <c r="J305" s="42"/>
      <c r="K305" s="43"/>
      <c r="L305" s="44"/>
      <c r="M30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05" s="38">
        <f>Tableau13452729313335374951944325[[#This Row],[MONTANT OPERATION]]+Tableau13452729313335374951944325[[#This Row],[POS  FUSIONNEE CPTE AVANT OP]]</f>
        <v>0</v>
      </c>
      <c r="O30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05" s="39" t="e">
        <f>Tableau13452729313335374951944325[[#This Row],[DEPASSEMENT TOTAL SUR AUTO
]]/-Tableau13452729313335374951944325[[#This Row],[MONTANT AUTO]]</f>
        <v>#VALUE!</v>
      </c>
      <c r="Q305" s="33"/>
      <c r="R305" s="33"/>
      <c r="S305" s="33"/>
      <c r="T30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05" s="57">
        <f>ABS(Tableau13452729313335374951944325[[#This Row],[MONTANT DEPASSEMENT]]*0.005)</f>
        <v>0</v>
      </c>
      <c r="V305" s="33"/>
      <c r="W305" s="33"/>
      <c r="X305" s="33"/>
      <c r="Y305" s="33"/>
    </row>
    <row r="306" spans="1:25" x14ac:dyDescent="0.25">
      <c r="A306" s="33"/>
      <c r="B306" s="34">
        <v>521</v>
      </c>
      <c r="C306" s="34" t="s">
        <v>611</v>
      </c>
      <c r="D306" s="53" t="s">
        <v>374</v>
      </c>
      <c r="E306" s="53" t="s">
        <v>375</v>
      </c>
      <c r="F306" s="53" t="s">
        <v>184</v>
      </c>
      <c r="G306" s="34" t="s">
        <v>612</v>
      </c>
      <c r="H306" s="34" t="s">
        <v>60</v>
      </c>
      <c r="I306" s="33"/>
      <c r="J306" s="42"/>
      <c r="K306" s="43"/>
      <c r="L306" s="44"/>
      <c r="M30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06" s="38">
        <f>Tableau13452729313335374951944325[[#This Row],[MONTANT OPERATION]]+Tableau13452729313335374951944325[[#This Row],[POS  FUSIONNEE CPTE AVANT OP]]</f>
        <v>0</v>
      </c>
      <c r="O30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06" s="39" t="e">
        <f>Tableau13452729313335374951944325[[#This Row],[DEPASSEMENT TOTAL SUR AUTO
]]/-Tableau13452729313335374951944325[[#This Row],[MONTANT AUTO]]</f>
        <v>#VALUE!</v>
      </c>
      <c r="Q306" s="33"/>
      <c r="R306" s="33"/>
      <c r="S306" s="33"/>
      <c r="T30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06" s="57">
        <f>ABS(Tableau13452729313335374951944325[[#This Row],[MONTANT DEPASSEMENT]]*0.005)</f>
        <v>0</v>
      </c>
      <c r="V306" s="33"/>
      <c r="W306" s="33"/>
      <c r="X306" s="33"/>
      <c r="Y306" s="33"/>
    </row>
    <row r="307" spans="1:25" x14ac:dyDescent="0.25">
      <c r="A307" s="33"/>
      <c r="B307" s="34">
        <v>583</v>
      </c>
      <c r="C307" s="34" t="s">
        <v>613</v>
      </c>
      <c r="D307" s="53" t="s">
        <v>614</v>
      </c>
      <c r="E307" s="53" t="s">
        <v>615</v>
      </c>
      <c r="F307" s="53" t="s">
        <v>343</v>
      </c>
      <c r="G307" s="34" t="s">
        <v>616</v>
      </c>
      <c r="H307" s="34" t="s">
        <v>95</v>
      </c>
      <c r="I307" s="33"/>
      <c r="J307" s="42"/>
      <c r="K307" s="43"/>
      <c r="L307" s="44"/>
      <c r="M30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07" s="38">
        <f>Tableau13452729313335374951944325[[#This Row],[MONTANT OPERATION]]+Tableau13452729313335374951944325[[#This Row],[POS  FUSIONNEE CPTE AVANT OP]]</f>
        <v>0</v>
      </c>
      <c r="O30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07" s="39" t="e">
        <f>Tableau13452729313335374951944325[[#This Row],[DEPASSEMENT TOTAL SUR AUTO
]]/-Tableau13452729313335374951944325[[#This Row],[MONTANT AUTO]]</f>
        <v>#VALUE!</v>
      </c>
      <c r="Q307" s="33"/>
      <c r="R307" s="33"/>
      <c r="S307" s="33"/>
      <c r="T30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07" s="57">
        <f>ABS(Tableau13452729313335374951944325[[#This Row],[MONTANT DEPASSEMENT]]*0.005)</f>
        <v>0</v>
      </c>
      <c r="V307" s="33"/>
      <c r="W307" s="33"/>
      <c r="X307" s="33"/>
      <c r="Y307" s="33"/>
    </row>
    <row r="308" spans="1:25" x14ac:dyDescent="0.25">
      <c r="A308" s="33"/>
      <c r="B308" s="34">
        <v>588</v>
      </c>
      <c r="C308" s="34" t="s">
        <v>674</v>
      </c>
      <c r="D308" s="53" t="s">
        <v>675</v>
      </c>
      <c r="E308" s="53" t="s">
        <v>676</v>
      </c>
      <c r="F308" s="53" t="s">
        <v>677</v>
      </c>
      <c r="G308" s="34" t="s">
        <v>678</v>
      </c>
      <c r="H308" s="34" t="s">
        <v>95</v>
      </c>
      <c r="I308" s="33"/>
      <c r="J308" s="42"/>
      <c r="K308" s="43"/>
      <c r="L308" s="44"/>
      <c r="M30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08" s="38">
        <f>Tableau13452729313335374951944325[[#This Row],[MONTANT OPERATION]]+Tableau13452729313335374951944325[[#This Row],[POS  FUSIONNEE CPTE AVANT OP]]</f>
        <v>0</v>
      </c>
      <c r="O30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08" s="39" t="e">
        <f>Tableau13452729313335374951944325[[#This Row],[DEPASSEMENT TOTAL SUR AUTO
]]/-Tableau13452729313335374951944325[[#This Row],[MONTANT AUTO]]</f>
        <v>#VALUE!</v>
      </c>
      <c r="Q308" s="33"/>
      <c r="R308" s="33"/>
      <c r="S308" s="33"/>
      <c r="T30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08" s="57">
        <f>ABS(Tableau13452729313335374951944325[[#This Row],[MONTANT DEPASSEMENT]]*0.005)</f>
        <v>0</v>
      </c>
      <c r="V308" s="33"/>
      <c r="W308" s="33"/>
      <c r="X308" s="33"/>
      <c r="Y308" s="33"/>
    </row>
    <row r="309" spans="1:25" x14ac:dyDescent="0.25">
      <c r="A309" s="33"/>
      <c r="B309" s="34">
        <v>550</v>
      </c>
      <c r="C309" s="34" t="s">
        <v>446</v>
      </c>
      <c r="D309" s="53" t="s">
        <v>400</v>
      </c>
      <c r="E309" s="53" t="s">
        <v>401</v>
      </c>
      <c r="F309" s="53" t="s">
        <v>349</v>
      </c>
      <c r="G309" s="34" t="s">
        <v>617</v>
      </c>
      <c r="H309" s="34" t="s">
        <v>50</v>
      </c>
      <c r="I309" s="33"/>
      <c r="J309" s="42"/>
      <c r="K309" s="43"/>
      <c r="L309" s="44"/>
      <c r="M30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09" s="38">
        <f>Tableau13452729313335374951944325[[#This Row],[MONTANT OPERATION]]+Tableau13452729313335374951944325[[#This Row],[POS  FUSIONNEE CPTE AVANT OP]]</f>
        <v>0</v>
      </c>
      <c r="O30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09" s="39" t="e">
        <f>Tableau13452729313335374951944325[[#This Row],[DEPASSEMENT TOTAL SUR AUTO
]]/-Tableau13452729313335374951944325[[#This Row],[MONTANT AUTO]]</f>
        <v>#VALUE!</v>
      </c>
      <c r="Q309" s="33"/>
      <c r="R309" s="33"/>
      <c r="S309" s="33"/>
      <c r="T30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09" s="57">
        <f>ABS(Tableau13452729313335374951944325[[#This Row],[MONTANT DEPASSEMENT]]*0.005)</f>
        <v>0</v>
      </c>
      <c r="V309" s="33"/>
      <c r="W309" s="33"/>
      <c r="X309" s="33"/>
      <c r="Y309" s="33"/>
    </row>
    <row r="310" spans="1:25" x14ac:dyDescent="0.25">
      <c r="A310" s="33"/>
      <c r="B310" s="34">
        <v>550</v>
      </c>
      <c r="C310" s="34" t="s">
        <v>446</v>
      </c>
      <c r="D310" s="53" t="s">
        <v>356</v>
      </c>
      <c r="E310" s="53" t="s">
        <v>357</v>
      </c>
      <c r="F310" s="53" t="s">
        <v>341</v>
      </c>
      <c r="G310" s="34" t="s">
        <v>618</v>
      </c>
      <c r="H310" s="34" t="s">
        <v>50</v>
      </c>
      <c r="I310" s="33"/>
      <c r="J310" s="42"/>
      <c r="K310" s="43"/>
      <c r="L310" s="44"/>
      <c r="M31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10" s="38">
        <f>Tableau13452729313335374951944325[[#This Row],[MONTANT OPERATION]]+Tableau13452729313335374951944325[[#This Row],[POS  FUSIONNEE CPTE AVANT OP]]</f>
        <v>0</v>
      </c>
      <c r="O31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10" s="39" t="e">
        <f>Tableau13452729313335374951944325[[#This Row],[DEPASSEMENT TOTAL SUR AUTO
]]/-Tableau13452729313335374951944325[[#This Row],[MONTANT AUTO]]</f>
        <v>#VALUE!</v>
      </c>
      <c r="Q310" s="33"/>
      <c r="R310" s="33"/>
      <c r="S310" s="33"/>
      <c r="T31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10" s="57">
        <f>ABS(Tableau13452729313335374951944325[[#This Row],[MONTANT DEPASSEMENT]]*0.005)</f>
        <v>0</v>
      </c>
      <c r="V310" s="33"/>
      <c r="W310" s="33"/>
      <c r="X310" s="33"/>
      <c r="Y310" s="33"/>
    </row>
    <row r="311" spans="1:25" x14ac:dyDescent="0.25">
      <c r="A311" s="33"/>
      <c r="B311" s="34">
        <v>521</v>
      </c>
      <c r="C311" s="34" t="s">
        <v>611</v>
      </c>
      <c r="D311" s="53" t="s">
        <v>619</v>
      </c>
      <c r="E311" s="53" t="s">
        <v>620</v>
      </c>
      <c r="F311" s="53" t="s">
        <v>89</v>
      </c>
      <c r="G311" s="34" t="s">
        <v>621</v>
      </c>
      <c r="H311" s="34" t="s">
        <v>342</v>
      </c>
      <c r="I311" s="33"/>
      <c r="J311" s="42"/>
      <c r="K311" s="43"/>
      <c r="L311" s="44"/>
      <c r="M31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11" s="38">
        <f>Tableau13452729313335374951944325[[#This Row],[MONTANT OPERATION]]+Tableau13452729313335374951944325[[#This Row],[POS  FUSIONNEE CPTE AVANT OP]]</f>
        <v>0</v>
      </c>
      <c r="O31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11" s="39" t="e">
        <f>Tableau13452729313335374951944325[[#This Row],[DEPASSEMENT TOTAL SUR AUTO
]]/-Tableau13452729313335374951944325[[#This Row],[MONTANT AUTO]]</f>
        <v>#VALUE!</v>
      </c>
      <c r="Q311" s="33"/>
      <c r="R311" s="33"/>
      <c r="S311" s="33"/>
      <c r="T31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11" s="57">
        <f>ABS(Tableau13452729313335374951944325[[#This Row],[MONTANT DEPASSEMENT]]*0.005)</f>
        <v>0</v>
      </c>
      <c r="V311" s="33"/>
      <c r="W311" s="33"/>
      <c r="X311" s="33"/>
      <c r="Y311" s="33"/>
    </row>
    <row r="312" spans="1:25" x14ac:dyDescent="0.25">
      <c r="A312" s="33"/>
      <c r="B312" s="34">
        <v>701</v>
      </c>
      <c r="C312" s="34" t="s">
        <v>426</v>
      </c>
      <c r="D312" s="53" t="s">
        <v>449</v>
      </c>
      <c r="E312" s="53" t="s">
        <v>450</v>
      </c>
      <c r="F312" s="53" t="s">
        <v>210</v>
      </c>
      <c r="G312" s="34" t="s">
        <v>451</v>
      </c>
      <c r="H312" s="34" t="s">
        <v>47</v>
      </c>
      <c r="I312" s="33"/>
      <c r="J312" s="42"/>
      <c r="K312" s="43"/>
      <c r="L312" s="44"/>
      <c r="M31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12" s="38">
        <f>Tableau13452729313335374951944325[[#This Row],[MONTANT OPERATION]]+Tableau13452729313335374951944325[[#This Row],[POS  FUSIONNEE CPTE AVANT OP]]</f>
        <v>0</v>
      </c>
      <c r="O31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12" s="39" t="e">
        <f>Tableau13452729313335374951944325[[#This Row],[DEPASSEMENT TOTAL SUR AUTO
]]/-Tableau13452729313335374951944325[[#This Row],[MONTANT AUTO]]</f>
        <v>#VALUE!</v>
      </c>
      <c r="Q312" s="33"/>
      <c r="R312" s="33"/>
      <c r="S312" s="33"/>
      <c r="T31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12" s="57">
        <f>ABS(Tableau13452729313335374951944325[[#This Row],[MONTANT DEPASSEMENT]]*0.005)</f>
        <v>0</v>
      </c>
      <c r="V312" s="33"/>
      <c r="W312" s="33"/>
      <c r="X312" s="33"/>
      <c r="Y312" s="33"/>
    </row>
    <row r="313" spans="1:25" x14ac:dyDescent="0.25">
      <c r="A313" s="33"/>
      <c r="B313" s="34">
        <v>701</v>
      </c>
      <c r="C313" s="34" t="s">
        <v>426</v>
      </c>
      <c r="D313" s="53" t="s">
        <v>309</v>
      </c>
      <c r="E313" s="53" t="s">
        <v>323</v>
      </c>
      <c r="F313" s="53" t="s">
        <v>250</v>
      </c>
      <c r="G313" s="34" t="s">
        <v>452</v>
      </c>
      <c r="H313" s="34" t="s">
        <v>93</v>
      </c>
      <c r="I313" s="33"/>
      <c r="J313" s="42"/>
      <c r="K313" s="43"/>
      <c r="L313" s="44"/>
      <c r="M31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13" s="38">
        <f>Tableau13452729313335374951944325[[#This Row],[MONTANT OPERATION]]+Tableau13452729313335374951944325[[#This Row],[POS  FUSIONNEE CPTE AVANT OP]]</f>
        <v>0</v>
      </c>
      <c r="O31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13" s="39" t="e">
        <f>Tableau13452729313335374951944325[[#This Row],[DEPASSEMENT TOTAL SUR AUTO
]]/-Tableau13452729313335374951944325[[#This Row],[MONTANT AUTO]]</f>
        <v>#VALUE!</v>
      </c>
      <c r="Q313" s="33"/>
      <c r="R313" s="33"/>
      <c r="S313" s="33"/>
      <c r="T31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13" s="57">
        <f>ABS(Tableau13452729313335374951944325[[#This Row],[MONTANT DEPASSEMENT]]*0.005)</f>
        <v>0</v>
      </c>
      <c r="V313" s="33"/>
      <c r="W313" s="33"/>
      <c r="X313" s="33"/>
      <c r="Y313" s="33"/>
    </row>
    <row r="314" spans="1:25" x14ac:dyDescent="0.25">
      <c r="A314" s="33"/>
      <c r="B314" s="34">
        <v>703</v>
      </c>
      <c r="C314" s="34" t="s">
        <v>453</v>
      </c>
      <c r="D314" s="53" t="s">
        <v>376</v>
      </c>
      <c r="E314" s="53" t="s">
        <v>377</v>
      </c>
      <c r="F314" s="53" t="s">
        <v>203</v>
      </c>
      <c r="G314" s="34" t="s">
        <v>454</v>
      </c>
      <c r="H314" s="34" t="s">
        <v>47</v>
      </c>
      <c r="I314" s="33"/>
      <c r="J314" s="42"/>
      <c r="K314" s="43"/>
      <c r="L314" s="44"/>
      <c r="M31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14" s="38">
        <f>Tableau13452729313335374951944325[[#This Row],[MONTANT OPERATION]]+Tableau13452729313335374951944325[[#This Row],[POS  FUSIONNEE CPTE AVANT OP]]</f>
        <v>0</v>
      </c>
      <c r="O31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14" s="39" t="e">
        <f>Tableau13452729313335374951944325[[#This Row],[DEPASSEMENT TOTAL SUR AUTO
]]/-Tableau13452729313335374951944325[[#This Row],[MONTANT AUTO]]</f>
        <v>#VALUE!</v>
      </c>
      <c r="Q314" s="33"/>
      <c r="R314" s="33"/>
      <c r="S314" s="33"/>
      <c r="T31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14" s="57">
        <f>ABS(Tableau13452729313335374951944325[[#This Row],[MONTANT DEPASSEMENT]]*0.005)</f>
        <v>0</v>
      </c>
      <c r="V314" s="33"/>
      <c r="W314" s="33"/>
      <c r="X314" s="33"/>
      <c r="Y314" s="33"/>
    </row>
    <row r="315" spans="1:25" x14ac:dyDescent="0.25">
      <c r="A315" s="33"/>
      <c r="B315" s="34">
        <v>703</v>
      </c>
      <c r="C315" s="34" t="s">
        <v>453</v>
      </c>
      <c r="D315" s="53" t="s">
        <v>67</v>
      </c>
      <c r="E315" s="53" t="s">
        <v>291</v>
      </c>
      <c r="F315" s="53" t="s">
        <v>292</v>
      </c>
      <c r="G315" s="34" t="s">
        <v>455</v>
      </c>
      <c r="H315" s="34" t="s">
        <v>47</v>
      </c>
      <c r="I315" s="33"/>
      <c r="J315" s="42"/>
      <c r="K315" s="43"/>
      <c r="L315" s="44"/>
      <c r="M31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15" s="38">
        <f>Tableau13452729313335374951944325[[#This Row],[MONTANT OPERATION]]+Tableau13452729313335374951944325[[#This Row],[POS  FUSIONNEE CPTE AVANT OP]]</f>
        <v>0</v>
      </c>
      <c r="O31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15" s="39" t="e">
        <f>Tableau13452729313335374951944325[[#This Row],[DEPASSEMENT TOTAL SUR AUTO
]]/-Tableau13452729313335374951944325[[#This Row],[MONTANT AUTO]]</f>
        <v>#VALUE!</v>
      </c>
      <c r="Q315" s="33"/>
      <c r="R315" s="33"/>
      <c r="S315" s="33"/>
      <c r="T31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15" s="57">
        <f>ABS(Tableau13452729313335374951944325[[#This Row],[MONTANT DEPASSEMENT]]*0.005)</f>
        <v>0</v>
      </c>
      <c r="V315" s="33"/>
      <c r="W315" s="33"/>
      <c r="X315" s="33"/>
      <c r="Y315" s="33"/>
    </row>
    <row r="316" spans="1:25" x14ac:dyDescent="0.25">
      <c r="A316" s="33"/>
      <c r="B316" s="34">
        <v>703</v>
      </c>
      <c r="C316" s="34" t="s">
        <v>453</v>
      </c>
      <c r="D316" s="53" t="s">
        <v>457</v>
      </c>
      <c r="E316" s="53" t="s">
        <v>458</v>
      </c>
      <c r="F316" s="53" t="s">
        <v>187</v>
      </c>
      <c r="G316" s="34" t="s">
        <v>459</v>
      </c>
      <c r="H316" s="34" t="s">
        <v>47</v>
      </c>
      <c r="I316" s="33"/>
      <c r="J316" s="42"/>
      <c r="K316" s="43"/>
      <c r="L316" s="44"/>
      <c r="M31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16" s="38">
        <f>Tableau13452729313335374951944325[[#This Row],[MONTANT OPERATION]]+Tableau13452729313335374951944325[[#This Row],[POS  FUSIONNEE CPTE AVANT OP]]</f>
        <v>0</v>
      </c>
      <c r="O31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16" s="39" t="e">
        <f>Tableau13452729313335374951944325[[#This Row],[DEPASSEMENT TOTAL SUR AUTO
]]/-Tableau13452729313335374951944325[[#This Row],[MONTANT AUTO]]</f>
        <v>#VALUE!</v>
      </c>
      <c r="Q316" s="33"/>
      <c r="R316" s="33"/>
      <c r="S316" s="33"/>
      <c r="T31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16" s="57">
        <f>ABS(Tableau13452729313335374951944325[[#This Row],[MONTANT DEPASSEMENT]]*0.005)</f>
        <v>0</v>
      </c>
      <c r="V316" s="33"/>
      <c r="W316" s="33"/>
      <c r="X316" s="33"/>
      <c r="Y316" s="33"/>
    </row>
    <row r="317" spans="1:25" x14ac:dyDescent="0.25">
      <c r="A317" s="33"/>
      <c r="B317" s="34">
        <v>703</v>
      </c>
      <c r="C317" s="34" t="s">
        <v>453</v>
      </c>
      <c r="D317" s="53" t="s">
        <v>234</v>
      </c>
      <c r="E317" s="53" t="s">
        <v>235</v>
      </c>
      <c r="F317" s="53" t="s">
        <v>202</v>
      </c>
      <c r="G317" s="34" t="s">
        <v>461</v>
      </c>
      <c r="H317" s="34" t="s">
        <v>41</v>
      </c>
      <c r="I317" s="33"/>
      <c r="J317" s="42"/>
      <c r="K317" s="43"/>
      <c r="L317" s="44"/>
      <c r="M31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17" s="38">
        <f>Tableau13452729313335374951944325[[#This Row],[MONTANT OPERATION]]+Tableau13452729313335374951944325[[#This Row],[POS  FUSIONNEE CPTE AVANT OP]]</f>
        <v>0</v>
      </c>
      <c r="O31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17" s="39" t="e">
        <f>Tableau13452729313335374951944325[[#This Row],[DEPASSEMENT TOTAL SUR AUTO
]]/-Tableau13452729313335374951944325[[#This Row],[MONTANT AUTO]]</f>
        <v>#VALUE!</v>
      </c>
      <c r="Q317" s="33"/>
      <c r="R317" s="33"/>
      <c r="S317" s="33"/>
      <c r="T31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17" s="57">
        <f>ABS(Tableau13452729313335374951944325[[#This Row],[MONTANT DEPASSEMENT]]*0.005)</f>
        <v>0</v>
      </c>
      <c r="V317" s="33"/>
      <c r="W317" s="33"/>
      <c r="X317" s="33"/>
      <c r="Y317" s="33"/>
    </row>
    <row r="318" spans="1:25" x14ac:dyDescent="0.25">
      <c r="A318" s="33"/>
      <c r="B318" s="34">
        <v>703</v>
      </c>
      <c r="C318" s="34" t="s">
        <v>453</v>
      </c>
      <c r="D318" s="53" t="s">
        <v>339</v>
      </c>
      <c r="E318" s="53" t="s">
        <v>340</v>
      </c>
      <c r="F318" s="53" t="s">
        <v>49</v>
      </c>
      <c r="G318" s="34" t="s">
        <v>467</v>
      </c>
      <c r="H318" s="34" t="s">
        <v>41</v>
      </c>
      <c r="I318" s="33"/>
      <c r="J318" s="42"/>
      <c r="K318" s="43"/>
      <c r="L318" s="44"/>
      <c r="M31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18" s="38">
        <f>Tableau13452729313335374951944325[[#This Row],[MONTANT OPERATION]]+Tableau13452729313335374951944325[[#This Row],[POS  FUSIONNEE CPTE AVANT OP]]</f>
        <v>0</v>
      </c>
      <c r="O31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18" s="39" t="e">
        <f>Tableau13452729313335374951944325[[#This Row],[DEPASSEMENT TOTAL SUR AUTO
]]/-Tableau13452729313335374951944325[[#This Row],[MONTANT AUTO]]</f>
        <v>#VALUE!</v>
      </c>
      <c r="Q318" s="33"/>
      <c r="R318" s="33"/>
      <c r="S318" s="33"/>
      <c r="T31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18" s="57">
        <f>ABS(Tableau13452729313335374951944325[[#This Row],[MONTANT DEPASSEMENT]]*0.005)</f>
        <v>0</v>
      </c>
      <c r="V318" s="33"/>
      <c r="W318" s="33"/>
      <c r="X318" s="33"/>
      <c r="Y318" s="33"/>
    </row>
    <row r="319" spans="1:25" x14ac:dyDescent="0.25">
      <c r="A319" s="33"/>
      <c r="B319" s="34">
        <v>705</v>
      </c>
      <c r="C319" s="34" t="s">
        <v>429</v>
      </c>
      <c r="D319" s="53" t="s">
        <v>159</v>
      </c>
      <c r="E319" s="53" t="s">
        <v>412</v>
      </c>
      <c r="F319" s="53" t="s">
        <v>49</v>
      </c>
      <c r="G319" s="34" t="s">
        <v>474</v>
      </c>
      <c r="H319" s="34" t="s">
        <v>47</v>
      </c>
      <c r="I319" s="33"/>
      <c r="J319" s="42"/>
      <c r="K319" s="43"/>
      <c r="L319" s="44"/>
      <c r="M31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19" s="38">
        <f>Tableau13452729313335374951944325[[#This Row],[MONTANT OPERATION]]+Tableau13452729313335374951944325[[#This Row],[POS  FUSIONNEE CPTE AVANT OP]]</f>
        <v>0</v>
      </c>
      <c r="O31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19" s="39" t="e">
        <f>Tableau13452729313335374951944325[[#This Row],[DEPASSEMENT TOTAL SUR AUTO
]]/-Tableau13452729313335374951944325[[#This Row],[MONTANT AUTO]]</f>
        <v>#VALUE!</v>
      </c>
      <c r="Q319" s="33"/>
      <c r="R319" s="33"/>
      <c r="S319" s="33"/>
      <c r="T31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19" s="57">
        <f>ABS(Tableau13452729313335374951944325[[#This Row],[MONTANT DEPASSEMENT]]*0.005)</f>
        <v>0</v>
      </c>
      <c r="V319" s="33"/>
      <c r="W319" s="33"/>
      <c r="X319" s="33"/>
      <c r="Y319" s="33"/>
    </row>
    <row r="320" spans="1:25" x14ac:dyDescent="0.25">
      <c r="A320" s="33"/>
      <c r="B320" s="34">
        <v>705</v>
      </c>
      <c r="C320" s="34" t="s">
        <v>429</v>
      </c>
      <c r="D320" s="53" t="s">
        <v>161</v>
      </c>
      <c r="E320" s="53" t="s">
        <v>255</v>
      </c>
      <c r="F320" s="53" t="s">
        <v>256</v>
      </c>
      <c r="G320" s="34" t="s">
        <v>434</v>
      </c>
      <c r="H320" s="34" t="s">
        <v>162</v>
      </c>
      <c r="I320" s="33"/>
      <c r="J320" s="42"/>
      <c r="K320" s="43"/>
      <c r="L320" s="44"/>
      <c r="M32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20" s="38">
        <f>Tableau13452729313335374951944325[[#This Row],[MONTANT OPERATION]]+Tableau13452729313335374951944325[[#This Row],[POS  FUSIONNEE CPTE AVANT OP]]</f>
        <v>0</v>
      </c>
      <c r="O32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20" s="39" t="e">
        <f>Tableau13452729313335374951944325[[#This Row],[DEPASSEMENT TOTAL SUR AUTO
]]/-Tableau13452729313335374951944325[[#This Row],[MONTANT AUTO]]</f>
        <v>#VALUE!</v>
      </c>
      <c r="Q320" s="33"/>
      <c r="R320" s="33"/>
      <c r="S320" s="33"/>
      <c r="T32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20" s="57">
        <f>ABS(Tableau13452729313335374951944325[[#This Row],[MONTANT DEPASSEMENT]]*0.005)</f>
        <v>0</v>
      </c>
      <c r="V320" s="33"/>
      <c r="W320" s="33"/>
      <c r="X320" s="33"/>
      <c r="Y320" s="33"/>
    </row>
    <row r="321" spans="1:25" x14ac:dyDescent="0.25">
      <c r="A321" s="33"/>
      <c r="B321" s="34">
        <v>705</v>
      </c>
      <c r="C321" s="34" t="s">
        <v>429</v>
      </c>
      <c r="D321" s="53" t="s">
        <v>90</v>
      </c>
      <c r="E321" s="53" t="s">
        <v>91</v>
      </c>
      <c r="F321" s="53" t="s">
        <v>92</v>
      </c>
      <c r="G321" s="34" t="s">
        <v>481</v>
      </c>
      <c r="H321" s="34" t="s">
        <v>93</v>
      </c>
      <c r="I321" s="33"/>
      <c r="J321" s="42"/>
      <c r="K321" s="43"/>
      <c r="L321" s="44"/>
      <c r="M32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21" s="38">
        <f>Tableau13452729313335374951944325[[#This Row],[MONTANT OPERATION]]+Tableau13452729313335374951944325[[#This Row],[POS  FUSIONNEE CPTE AVANT OP]]</f>
        <v>0</v>
      </c>
      <c r="O32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21" s="39" t="e">
        <f>Tableau13452729313335374951944325[[#This Row],[DEPASSEMENT TOTAL SUR AUTO
]]/-Tableau13452729313335374951944325[[#This Row],[MONTANT AUTO]]</f>
        <v>#VALUE!</v>
      </c>
      <c r="Q321" s="33"/>
      <c r="R321" s="33"/>
      <c r="S321" s="33"/>
      <c r="T32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21" s="57">
        <f>ABS(Tableau13452729313335374951944325[[#This Row],[MONTANT DEPASSEMENT]]*0.005)</f>
        <v>0</v>
      </c>
      <c r="V321" s="33"/>
      <c r="W321" s="33"/>
      <c r="X321" s="33"/>
      <c r="Y321" s="33"/>
    </row>
    <row r="322" spans="1:25" x14ac:dyDescent="0.25">
      <c r="A322" s="33"/>
      <c r="B322" s="34">
        <v>705</v>
      </c>
      <c r="C322" s="34" t="s">
        <v>429</v>
      </c>
      <c r="D322" s="53" t="s">
        <v>38</v>
      </c>
      <c r="E322" s="53" t="s">
        <v>39</v>
      </c>
      <c r="F322" s="53" t="s">
        <v>40</v>
      </c>
      <c r="G322" s="34" t="s">
        <v>489</v>
      </c>
      <c r="H322" s="34" t="s">
        <v>41</v>
      </c>
      <c r="I322" s="33"/>
      <c r="J322" s="42"/>
      <c r="K322" s="43"/>
      <c r="L322" s="44"/>
      <c r="M32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22" s="38">
        <f>Tableau13452729313335374951944325[[#This Row],[MONTANT OPERATION]]+Tableau13452729313335374951944325[[#This Row],[POS  FUSIONNEE CPTE AVANT OP]]</f>
        <v>0</v>
      </c>
      <c r="O32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22" s="39" t="e">
        <f>Tableau13452729313335374951944325[[#This Row],[DEPASSEMENT TOTAL SUR AUTO
]]/-Tableau13452729313335374951944325[[#This Row],[MONTANT AUTO]]</f>
        <v>#VALUE!</v>
      </c>
      <c r="Q322" s="33"/>
      <c r="R322" s="33"/>
      <c r="S322" s="33"/>
      <c r="T32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22" s="57">
        <f>ABS(Tableau13452729313335374951944325[[#This Row],[MONTANT DEPASSEMENT]]*0.005)</f>
        <v>0</v>
      </c>
      <c r="V322" s="33"/>
      <c r="W322" s="33"/>
      <c r="X322" s="33"/>
      <c r="Y322" s="33"/>
    </row>
    <row r="323" spans="1:25" x14ac:dyDescent="0.25">
      <c r="A323" s="33"/>
      <c r="B323" s="34">
        <v>711</v>
      </c>
      <c r="C323" s="34" t="s">
        <v>427</v>
      </c>
      <c r="D323" s="53" t="s">
        <v>84</v>
      </c>
      <c r="E323" s="53" t="s">
        <v>85</v>
      </c>
      <c r="F323" s="53" t="s">
        <v>86</v>
      </c>
      <c r="G323" s="34" t="s">
        <v>428</v>
      </c>
      <c r="H323" s="34" t="s">
        <v>31</v>
      </c>
      <c r="I323" s="33"/>
      <c r="J323" s="42"/>
      <c r="K323" s="43"/>
      <c r="L323" s="44"/>
      <c r="M32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23" s="38">
        <f>Tableau13452729313335374951944325[[#This Row],[MONTANT OPERATION]]+Tableau13452729313335374951944325[[#This Row],[POS  FUSIONNEE CPTE AVANT OP]]</f>
        <v>0</v>
      </c>
      <c r="O32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23" s="39" t="e">
        <f>Tableau13452729313335374951944325[[#This Row],[DEPASSEMENT TOTAL SUR AUTO
]]/-Tableau13452729313335374951944325[[#This Row],[MONTANT AUTO]]</f>
        <v>#VALUE!</v>
      </c>
      <c r="Q323" s="33"/>
      <c r="R323" s="33"/>
      <c r="S323" s="33"/>
      <c r="T32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23" s="57">
        <f>ABS(Tableau13452729313335374951944325[[#This Row],[MONTANT DEPASSEMENT]]*0.005)</f>
        <v>0</v>
      </c>
      <c r="V323" s="33"/>
      <c r="W323" s="33"/>
      <c r="X323" s="33"/>
      <c r="Y323" s="33"/>
    </row>
    <row r="324" spans="1:25" x14ac:dyDescent="0.25">
      <c r="A324" s="33"/>
      <c r="B324" s="34">
        <v>711</v>
      </c>
      <c r="C324" s="34" t="s">
        <v>427</v>
      </c>
      <c r="D324" s="53" t="s">
        <v>110</v>
      </c>
      <c r="E324" s="53" t="s">
        <v>111</v>
      </c>
      <c r="F324" s="53" t="s">
        <v>192</v>
      </c>
      <c r="G324" s="34" t="s">
        <v>506</v>
      </c>
      <c r="H324" s="34" t="s">
        <v>31</v>
      </c>
      <c r="I324" s="33"/>
      <c r="J324" s="42"/>
      <c r="K324" s="43"/>
      <c r="L324" s="44"/>
      <c r="M32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24" s="38">
        <f>Tableau13452729313335374951944325[[#This Row],[MONTANT OPERATION]]+Tableau13452729313335374951944325[[#This Row],[POS  FUSIONNEE CPTE AVANT OP]]</f>
        <v>0</v>
      </c>
      <c r="O32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24" s="39" t="e">
        <f>Tableau13452729313335374951944325[[#This Row],[DEPASSEMENT TOTAL SUR AUTO
]]/-Tableau13452729313335374951944325[[#This Row],[MONTANT AUTO]]</f>
        <v>#VALUE!</v>
      </c>
      <c r="Q324" s="33"/>
      <c r="R324" s="33"/>
      <c r="S324" s="33"/>
      <c r="T32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24" s="57">
        <f>ABS(Tableau13452729313335374951944325[[#This Row],[MONTANT DEPASSEMENT]]*0.005)</f>
        <v>0</v>
      </c>
      <c r="V324" s="33"/>
      <c r="W324" s="33"/>
      <c r="X324" s="33"/>
      <c r="Y324" s="33"/>
    </row>
    <row r="325" spans="1:25" x14ac:dyDescent="0.25">
      <c r="A325" s="33"/>
      <c r="B325" s="34">
        <v>711</v>
      </c>
      <c r="C325" s="34" t="s">
        <v>427</v>
      </c>
      <c r="D325" s="53" t="s">
        <v>171</v>
      </c>
      <c r="E325" s="53" t="s">
        <v>172</v>
      </c>
      <c r="F325" s="53" t="s">
        <v>220</v>
      </c>
      <c r="G325" s="34" t="s">
        <v>173</v>
      </c>
      <c r="H325" s="34" t="s">
        <v>31</v>
      </c>
      <c r="I325" s="33"/>
      <c r="J325" s="42"/>
      <c r="K325" s="43"/>
      <c r="L325" s="44"/>
      <c r="M32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25" s="38">
        <f>Tableau13452729313335374951944325[[#This Row],[MONTANT OPERATION]]+Tableau13452729313335374951944325[[#This Row],[POS  FUSIONNEE CPTE AVANT OP]]</f>
        <v>0</v>
      </c>
      <c r="O32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25" s="39" t="e">
        <f>Tableau13452729313335374951944325[[#This Row],[DEPASSEMENT TOTAL SUR AUTO
]]/-Tableau13452729313335374951944325[[#This Row],[MONTANT AUTO]]</f>
        <v>#VALUE!</v>
      </c>
      <c r="Q325" s="33"/>
      <c r="R325" s="33"/>
      <c r="S325" s="33"/>
      <c r="T32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25" s="57">
        <f>ABS(Tableau13452729313335374951944325[[#This Row],[MONTANT DEPASSEMENT]]*0.005)</f>
        <v>0</v>
      </c>
      <c r="V325" s="33"/>
      <c r="W325" s="33"/>
      <c r="X325" s="33"/>
      <c r="Y325" s="33"/>
    </row>
    <row r="326" spans="1:25" x14ac:dyDescent="0.25">
      <c r="A326" s="33"/>
      <c r="B326" s="34">
        <v>711</v>
      </c>
      <c r="C326" s="34" t="s">
        <v>427</v>
      </c>
      <c r="D326" s="53" t="s">
        <v>165</v>
      </c>
      <c r="E326" s="53" t="s">
        <v>166</v>
      </c>
      <c r="F326" s="53" t="s">
        <v>279</v>
      </c>
      <c r="G326" s="34" t="s">
        <v>507</v>
      </c>
      <c r="H326" s="34" t="s">
        <v>31</v>
      </c>
      <c r="I326" s="33"/>
      <c r="J326" s="42"/>
      <c r="K326" s="43"/>
      <c r="L326" s="44"/>
      <c r="M32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26" s="38">
        <f>Tableau13452729313335374951944325[[#This Row],[MONTANT OPERATION]]+Tableau13452729313335374951944325[[#This Row],[POS  FUSIONNEE CPTE AVANT OP]]</f>
        <v>0</v>
      </c>
      <c r="O32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26" s="39" t="e">
        <f>Tableau13452729313335374951944325[[#This Row],[DEPASSEMENT TOTAL SUR AUTO
]]/-Tableau13452729313335374951944325[[#This Row],[MONTANT AUTO]]</f>
        <v>#VALUE!</v>
      </c>
      <c r="Q326" s="33"/>
      <c r="R326" s="33"/>
      <c r="S326" s="33"/>
      <c r="T32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26" s="57">
        <f>ABS(Tableau13452729313335374951944325[[#This Row],[MONTANT DEPASSEMENT]]*0.005)</f>
        <v>0</v>
      </c>
      <c r="V326" s="33"/>
      <c r="W326" s="33"/>
      <c r="X326" s="33"/>
      <c r="Y326" s="33"/>
    </row>
    <row r="327" spans="1:25" x14ac:dyDescent="0.25">
      <c r="A327" s="33"/>
      <c r="B327" s="34">
        <v>711</v>
      </c>
      <c r="C327" s="34" t="s">
        <v>427</v>
      </c>
      <c r="D327" s="53" t="s">
        <v>178</v>
      </c>
      <c r="E327" s="53" t="s">
        <v>179</v>
      </c>
      <c r="F327" s="53" t="s">
        <v>203</v>
      </c>
      <c r="G327" s="34" t="s">
        <v>508</v>
      </c>
      <c r="H327" s="34" t="s">
        <v>31</v>
      </c>
      <c r="I327" s="33"/>
      <c r="J327" s="42"/>
      <c r="K327" s="43"/>
      <c r="L327" s="44"/>
      <c r="M32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27" s="38">
        <f>Tableau13452729313335374951944325[[#This Row],[MONTANT OPERATION]]+Tableau13452729313335374951944325[[#This Row],[POS  FUSIONNEE CPTE AVANT OP]]</f>
        <v>0</v>
      </c>
      <c r="O32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27" s="39" t="e">
        <f>Tableau13452729313335374951944325[[#This Row],[DEPASSEMENT TOTAL SUR AUTO
]]/-Tableau13452729313335374951944325[[#This Row],[MONTANT AUTO]]</f>
        <v>#VALUE!</v>
      </c>
      <c r="Q327" s="33"/>
      <c r="R327" s="33"/>
      <c r="S327" s="33"/>
      <c r="T32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27" s="57">
        <f>ABS(Tableau13452729313335374951944325[[#This Row],[MONTANT DEPASSEMENT]]*0.005)</f>
        <v>0</v>
      </c>
      <c r="V327" s="33"/>
      <c r="W327" s="33"/>
      <c r="X327" s="33"/>
      <c r="Y327" s="33"/>
    </row>
    <row r="328" spans="1:25" x14ac:dyDescent="0.25">
      <c r="A328" s="33"/>
      <c r="B328" s="34">
        <v>711</v>
      </c>
      <c r="C328" s="34" t="s">
        <v>427</v>
      </c>
      <c r="D328" s="53" t="s">
        <v>251</v>
      </c>
      <c r="E328" s="53" t="s">
        <v>252</v>
      </c>
      <c r="F328" s="53" t="s">
        <v>220</v>
      </c>
      <c r="G328" s="34" t="s">
        <v>622</v>
      </c>
      <c r="H328" s="34" t="s">
        <v>31</v>
      </c>
      <c r="I328" s="33"/>
      <c r="J328" s="42"/>
      <c r="K328" s="43"/>
      <c r="L328" s="44"/>
      <c r="M32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28" s="38">
        <f>Tableau13452729313335374951944325[[#This Row],[MONTANT OPERATION]]+Tableau13452729313335374951944325[[#This Row],[POS  FUSIONNEE CPTE AVANT OP]]</f>
        <v>0</v>
      </c>
      <c r="O32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28" s="39" t="e">
        <f>Tableau13452729313335374951944325[[#This Row],[DEPASSEMENT TOTAL SUR AUTO
]]/-Tableau13452729313335374951944325[[#This Row],[MONTANT AUTO]]</f>
        <v>#VALUE!</v>
      </c>
      <c r="Q328" s="33"/>
      <c r="R328" s="33"/>
      <c r="S328" s="33"/>
      <c r="T32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28" s="57">
        <f>ABS(Tableau13452729313335374951944325[[#This Row],[MONTANT DEPASSEMENT]]*0.005)</f>
        <v>0</v>
      </c>
      <c r="V328" s="33"/>
      <c r="W328" s="33"/>
      <c r="X328" s="33"/>
      <c r="Y328" s="33"/>
    </row>
    <row r="329" spans="1:25" x14ac:dyDescent="0.25">
      <c r="A329" s="33"/>
      <c r="B329" s="34">
        <v>711</v>
      </c>
      <c r="C329" s="34" t="s">
        <v>427</v>
      </c>
      <c r="D329" s="53" t="s">
        <v>260</v>
      </c>
      <c r="E329" s="53" t="s">
        <v>261</v>
      </c>
      <c r="F329" s="53" t="s">
        <v>262</v>
      </c>
      <c r="G329" s="34" t="s">
        <v>511</v>
      </c>
      <c r="H329" s="34" t="s">
        <v>27</v>
      </c>
      <c r="I329" s="33"/>
      <c r="J329" s="42"/>
      <c r="K329" s="43"/>
      <c r="L329" s="44"/>
      <c r="M32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29" s="38">
        <f>Tableau13452729313335374951944325[[#This Row],[MONTANT OPERATION]]+Tableau13452729313335374951944325[[#This Row],[POS  FUSIONNEE CPTE AVANT OP]]</f>
        <v>0</v>
      </c>
      <c r="O32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29" s="39" t="e">
        <f>Tableau13452729313335374951944325[[#This Row],[DEPASSEMENT TOTAL SUR AUTO
]]/-Tableau13452729313335374951944325[[#This Row],[MONTANT AUTO]]</f>
        <v>#VALUE!</v>
      </c>
      <c r="Q329" s="33"/>
      <c r="R329" s="33"/>
      <c r="S329" s="33"/>
      <c r="T32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29" s="57">
        <f>ABS(Tableau13452729313335374951944325[[#This Row],[MONTANT DEPASSEMENT]]*0.005)</f>
        <v>0</v>
      </c>
      <c r="V329" s="33"/>
      <c r="W329" s="33"/>
      <c r="X329" s="33"/>
      <c r="Y329" s="33"/>
    </row>
    <row r="330" spans="1:25" x14ac:dyDescent="0.25">
      <c r="A330" s="33"/>
      <c r="B330" s="34">
        <v>712</v>
      </c>
      <c r="C330" s="34" t="s">
        <v>431</v>
      </c>
      <c r="D330" s="53" t="s">
        <v>79</v>
      </c>
      <c r="E330" s="53" t="s">
        <v>80</v>
      </c>
      <c r="F330" s="53" t="s">
        <v>81</v>
      </c>
      <c r="G330" s="34" t="s">
        <v>528</v>
      </c>
      <c r="H330" s="34" t="s">
        <v>31</v>
      </c>
      <c r="I330" s="33"/>
      <c r="J330" s="42"/>
      <c r="K330" s="43"/>
      <c r="L330" s="44"/>
      <c r="M33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30" s="38">
        <f>Tableau13452729313335374951944325[[#This Row],[MONTANT OPERATION]]+Tableau13452729313335374951944325[[#This Row],[POS  FUSIONNEE CPTE AVANT OP]]</f>
        <v>0</v>
      </c>
      <c r="O33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30" s="39" t="e">
        <f>Tableau13452729313335374951944325[[#This Row],[DEPASSEMENT TOTAL SUR AUTO
]]/-Tableau13452729313335374951944325[[#This Row],[MONTANT AUTO]]</f>
        <v>#VALUE!</v>
      </c>
      <c r="Q330" s="33"/>
      <c r="R330" s="33"/>
      <c r="S330" s="33"/>
      <c r="T33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30" s="57">
        <f>ABS(Tableau13452729313335374951944325[[#This Row],[MONTANT DEPASSEMENT]]*0.005)</f>
        <v>0</v>
      </c>
      <c r="V330" s="33"/>
      <c r="W330" s="33"/>
      <c r="X330" s="33"/>
      <c r="Y330" s="33"/>
    </row>
    <row r="331" spans="1:25" x14ac:dyDescent="0.25">
      <c r="A331" s="33"/>
      <c r="B331" s="34">
        <v>712</v>
      </c>
      <c r="C331" s="34" t="s">
        <v>431</v>
      </c>
      <c r="D331" s="53" t="s">
        <v>200</v>
      </c>
      <c r="E331" s="53" t="s">
        <v>201</v>
      </c>
      <c r="F331" s="53" t="s">
        <v>202</v>
      </c>
      <c r="G331" s="34" t="s">
        <v>432</v>
      </c>
      <c r="H331" s="34" t="s">
        <v>60</v>
      </c>
      <c r="I331" s="33"/>
      <c r="J331" s="42"/>
      <c r="K331" s="43"/>
      <c r="L331" s="44"/>
      <c r="M33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31" s="38">
        <f>Tableau13452729313335374951944325[[#This Row],[MONTANT OPERATION]]+Tableau13452729313335374951944325[[#This Row],[POS  FUSIONNEE CPTE AVANT OP]]</f>
        <v>0</v>
      </c>
      <c r="O33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31" s="39" t="e">
        <f>Tableau13452729313335374951944325[[#This Row],[DEPASSEMENT TOTAL SUR AUTO
]]/-Tableau13452729313335374951944325[[#This Row],[MONTANT AUTO]]</f>
        <v>#VALUE!</v>
      </c>
      <c r="Q331" s="33"/>
      <c r="R331" s="33"/>
      <c r="S331" s="33"/>
      <c r="T33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31" s="57">
        <f>ABS(Tableau13452729313335374951944325[[#This Row],[MONTANT DEPASSEMENT]]*0.005)</f>
        <v>0</v>
      </c>
      <c r="V331" s="33"/>
      <c r="W331" s="33"/>
      <c r="X331" s="33"/>
      <c r="Y331" s="33"/>
    </row>
    <row r="332" spans="1:25" x14ac:dyDescent="0.25">
      <c r="A332" s="33"/>
      <c r="B332" s="34">
        <v>712</v>
      </c>
      <c r="C332" s="34" t="s">
        <v>431</v>
      </c>
      <c r="D332" s="53" t="s">
        <v>531</v>
      </c>
      <c r="E332" s="53" t="s">
        <v>532</v>
      </c>
      <c r="F332" s="53" t="s">
        <v>231</v>
      </c>
      <c r="G332" s="34" t="s">
        <v>533</v>
      </c>
      <c r="H332" s="34" t="s">
        <v>27</v>
      </c>
      <c r="I332" s="33"/>
      <c r="J332" s="42"/>
      <c r="K332" s="43"/>
      <c r="L332" s="44"/>
      <c r="M33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32" s="38">
        <f>Tableau13452729313335374951944325[[#This Row],[MONTANT OPERATION]]+Tableau13452729313335374951944325[[#This Row],[POS  FUSIONNEE CPTE AVANT OP]]</f>
        <v>0</v>
      </c>
      <c r="O33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32" s="39" t="e">
        <f>Tableau13452729313335374951944325[[#This Row],[DEPASSEMENT TOTAL SUR AUTO
]]/-Tableau13452729313335374951944325[[#This Row],[MONTANT AUTO]]</f>
        <v>#VALUE!</v>
      </c>
      <c r="Q332" s="33"/>
      <c r="R332" s="33"/>
      <c r="S332" s="33"/>
      <c r="T33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32" s="57">
        <f>ABS(Tableau13452729313335374951944325[[#This Row],[MONTANT DEPASSEMENT]]*0.005)</f>
        <v>0</v>
      </c>
      <c r="V332" s="33"/>
      <c r="W332" s="33"/>
      <c r="X332" s="33"/>
      <c r="Y332" s="33"/>
    </row>
    <row r="333" spans="1:25" x14ac:dyDescent="0.25">
      <c r="A333" s="33"/>
      <c r="B333" s="34">
        <v>713</v>
      </c>
      <c r="C333" s="34" t="s">
        <v>433</v>
      </c>
      <c r="D333" s="53" t="s">
        <v>59</v>
      </c>
      <c r="E333" s="53" t="s">
        <v>366</v>
      </c>
      <c r="F333" s="53" t="s">
        <v>312</v>
      </c>
      <c r="G333" s="34" t="s">
        <v>537</v>
      </c>
      <c r="H333" s="34" t="s">
        <v>60</v>
      </c>
      <c r="I333" s="33"/>
      <c r="J333" s="42"/>
      <c r="K333" s="43"/>
      <c r="L333" s="44"/>
      <c r="M33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33" s="38">
        <f>Tableau13452729313335374951944325[[#This Row],[MONTANT OPERATION]]+Tableau13452729313335374951944325[[#This Row],[POS  FUSIONNEE CPTE AVANT OP]]</f>
        <v>0</v>
      </c>
      <c r="O33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33" s="39" t="e">
        <f>Tableau13452729313335374951944325[[#This Row],[DEPASSEMENT TOTAL SUR AUTO
]]/-Tableau13452729313335374951944325[[#This Row],[MONTANT AUTO]]</f>
        <v>#VALUE!</v>
      </c>
      <c r="Q333" s="33"/>
      <c r="R333" s="33"/>
      <c r="S333" s="33"/>
      <c r="T33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33" s="57">
        <f>ABS(Tableau13452729313335374951944325[[#This Row],[MONTANT DEPASSEMENT]]*0.005)</f>
        <v>0</v>
      </c>
      <c r="V333" s="33"/>
      <c r="W333" s="33"/>
      <c r="X333" s="33"/>
      <c r="Y333" s="33"/>
    </row>
    <row r="334" spans="1:25" x14ac:dyDescent="0.25">
      <c r="A334" s="33"/>
      <c r="B334" s="34">
        <v>713</v>
      </c>
      <c r="C334" s="34" t="s">
        <v>433</v>
      </c>
      <c r="D334" s="53" t="s">
        <v>148</v>
      </c>
      <c r="E334" s="53" t="s">
        <v>272</v>
      </c>
      <c r="F334" s="53" t="s">
        <v>250</v>
      </c>
      <c r="G334" s="34" t="s">
        <v>538</v>
      </c>
      <c r="H334" s="34" t="s">
        <v>149</v>
      </c>
      <c r="I334" s="33"/>
      <c r="J334" s="42"/>
      <c r="K334" s="43"/>
      <c r="L334" s="44"/>
      <c r="M33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34" s="38">
        <f>Tableau13452729313335374951944325[[#This Row],[MONTANT OPERATION]]+Tableau13452729313335374951944325[[#This Row],[POS  FUSIONNEE CPTE AVANT OP]]</f>
        <v>0</v>
      </c>
      <c r="O33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34" s="39" t="e">
        <f>Tableau13452729313335374951944325[[#This Row],[DEPASSEMENT TOTAL SUR AUTO
]]/-Tableau13452729313335374951944325[[#This Row],[MONTANT AUTO]]</f>
        <v>#VALUE!</v>
      </c>
      <c r="Q334" s="33"/>
      <c r="R334" s="33"/>
      <c r="S334" s="33"/>
      <c r="T33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34" s="57">
        <f>ABS(Tableau13452729313335374951944325[[#This Row],[MONTANT DEPASSEMENT]]*0.005)</f>
        <v>0</v>
      </c>
      <c r="V334" s="33"/>
      <c r="W334" s="33"/>
      <c r="X334" s="33"/>
      <c r="Y334" s="33"/>
    </row>
    <row r="335" spans="1:25" x14ac:dyDescent="0.25">
      <c r="A335" s="33"/>
      <c r="B335" s="34">
        <v>713</v>
      </c>
      <c r="C335" s="34" t="s">
        <v>433</v>
      </c>
      <c r="D335" s="53" t="s">
        <v>381</v>
      </c>
      <c r="E335" s="53" t="s">
        <v>382</v>
      </c>
      <c r="F335" s="53" t="s">
        <v>250</v>
      </c>
      <c r="G335" s="34" t="s">
        <v>623</v>
      </c>
      <c r="H335" s="34" t="s">
        <v>169</v>
      </c>
      <c r="I335" s="33"/>
      <c r="J335" s="42"/>
      <c r="K335" s="43"/>
      <c r="L335" s="44"/>
      <c r="M33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35" s="38">
        <f>Tableau13452729313335374951944325[[#This Row],[MONTANT OPERATION]]+Tableau13452729313335374951944325[[#This Row],[POS  FUSIONNEE CPTE AVANT OP]]</f>
        <v>0</v>
      </c>
      <c r="O33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35" s="39" t="e">
        <f>Tableau13452729313335374951944325[[#This Row],[DEPASSEMENT TOTAL SUR AUTO
]]/-Tableau13452729313335374951944325[[#This Row],[MONTANT AUTO]]</f>
        <v>#VALUE!</v>
      </c>
      <c r="Q335" s="33"/>
      <c r="R335" s="33"/>
      <c r="S335" s="33"/>
      <c r="T33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35" s="57">
        <f>ABS(Tableau13452729313335374951944325[[#This Row],[MONTANT DEPASSEMENT]]*0.005)</f>
        <v>0</v>
      </c>
      <c r="V335" s="33"/>
      <c r="W335" s="33"/>
      <c r="X335" s="33"/>
      <c r="Y335" s="33"/>
    </row>
    <row r="336" spans="1:25" x14ac:dyDescent="0.25">
      <c r="A336" s="33"/>
      <c r="B336" s="34">
        <v>714</v>
      </c>
      <c r="C336" s="34" t="s">
        <v>435</v>
      </c>
      <c r="D336" s="53" t="s">
        <v>68</v>
      </c>
      <c r="E336" s="53" t="s">
        <v>69</v>
      </c>
      <c r="F336" s="53" t="s">
        <v>267</v>
      </c>
      <c r="G336" s="34" t="s">
        <v>541</v>
      </c>
      <c r="H336" s="34" t="s">
        <v>31</v>
      </c>
      <c r="I336" s="33"/>
      <c r="J336" s="42"/>
      <c r="K336" s="43"/>
      <c r="L336" s="44"/>
      <c r="M33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36" s="38">
        <f>Tableau13452729313335374951944325[[#This Row],[MONTANT OPERATION]]+Tableau13452729313335374951944325[[#This Row],[POS  FUSIONNEE CPTE AVANT OP]]</f>
        <v>0</v>
      </c>
      <c r="O33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36" s="39" t="e">
        <f>Tableau13452729313335374951944325[[#This Row],[DEPASSEMENT TOTAL SUR AUTO
]]/-Tableau13452729313335374951944325[[#This Row],[MONTANT AUTO]]</f>
        <v>#VALUE!</v>
      </c>
      <c r="Q336" s="33"/>
      <c r="R336" s="33"/>
      <c r="S336" s="33"/>
      <c r="T33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36" s="57">
        <f>ABS(Tableau13452729313335374951944325[[#This Row],[MONTANT DEPASSEMENT]]*0.005)</f>
        <v>0</v>
      </c>
      <c r="V336" s="33"/>
      <c r="W336" s="33"/>
      <c r="X336" s="33"/>
      <c r="Y336" s="33"/>
    </row>
    <row r="337" spans="1:25" x14ac:dyDescent="0.25">
      <c r="A337" s="33"/>
      <c r="B337" s="34">
        <v>714</v>
      </c>
      <c r="C337" s="34" t="s">
        <v>435</v>
      </c>
      <c r="D337" s="53" t="s">
        <v>157</v>
      </c>
      <c r="E337" s="53" t="s">
        <v>181</v>
      </c>
      <c r="F337" s="53" t="s">
        <v>158</v>
      </c>
      <c r="G337" s="34" t="s">
        <v>436</v>
      </c>
      <c r="H337" s="34" t="s">
        <v>27</v>
      </c>
      <c r="I337" s="33"/>
      <c r="J337" s="42"/>
      <c r="K337" s="43"/>
      <c r="L337" s="44"/>
      <c r="M33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37" s="38">
        <f>Tableau13452729313335374951944325[[#This Row],[MONTANT OPERATION]]+Tableau13452729313335374951944325[[#This Row],[POS  FUSIONNEE CPTE AVANT OP]]</f>
        <v>0</v>
      </c>
      <c r="O33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37" s="39" t="e">
        <f>Tableau13452729313335374951944325[[#This Row],[DEPASSEMENT TOTAL SUR AUTO
]]/-Tableau13452729313335374951944325[[#This Row],[MONTANT AUTO]]</f>
        <v>#VALUE!</v>
      </c>
      <c r="Q337" s="33"/>
      <c r="R337" s="33"/>
      <c r="S337" s="33"/>
      <c r="T33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37" s="57">
        <f>ABS(Tableau13452729313335374951944325[[#This Row],[MONTANT DEPASSEMENT]]*0.005)</f>
        <v>0</v>
      </c>
      <c r="V337" s="33"/>
      <c r="W337" s="33"/>
      <c r="X337" s="33"/>
      <c r="Y337" s="33"/>
    </row>
    <row r="338" spans="1:25" x14ac:dyDescent="0.25">
      <c r="A338" s="33"/>
      <c r="B338" s="34">
        <v>714</v>
      </c>
      <c r="C338" s="34" t="s">
        <v>435</v>
      </c>
      <c r="D338" s="53" t="s">
        <v>114</v>
      </c>
      <c r="E338" s="53" t="s">
        <v>115</v>
      </c>
      <c r="F338" s="53" t="s">
        <v>26</v>
      </c>
      <c r="G338" s="34" t="s">
        <v>547</v>
      </c>
      <c r="H338" s="34" t="s">
        <v>27</v>
      </c>
      <c r="I338" s="33"/>
      <c r="J338" s="42"/>
      <c r="K338" s="43"/>
      <c r="L338" s="44"/>
      <c r="M33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38" s="38">
        <f>Tableau13452729313335374951944325[[#This Row],[MONTANT OPERATION]]+Tableau13452729313335374951944325[[#This Row],[POS  FUSIONNEE CPTE AVANT OP]]</f>
        <v>0</v>
      </c>
      <c r="O33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38" s="39" t="e">
        <f>Tableau13452729313335374951944325[[#This Row],[DEPASSEMENT TOTAL SUR AUTO
]]/-Tableau13452729313335374951944325[[#This Row],[MONTANT AUTO]]</f>
        <v>#VALUE!</v>
      </c>
      <c r="Q338" s="33"/>
      <c r="R338" s="33"/>
      <c r="S338" s="33"/>
      <c r="T33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38" s="57">
        <f>ABS(Tableau13452729313335374951944325[[#This Row],[MONTANT DEPASSEMENT]]*0.005)</f>
        <v>0</v>
      </c>
      <c r="V338" s="33"/>
      <c r="W338" s="33"/>
      <c r="X338" s="33"/>
      <c r="Y338" s="33"/>
    </row>
    <row r="339" spans="1:25" x14ac:dyDescent="0.25">
      <c r="A339" s="33"/>
      <c r="B339" s="34">
        <v>714</v>
      </c>
      <c r="C339" s="34" t="s">
        <v>435</v>
      </c>
      <c r="D339" s="53" t="s">
        <v>257</v>
      </c>
      <c r="E339" s="53" t="s">
        <v>258</v>
      </c>
      <c r="F339" s="53" t="s">
        <v>259</v>
      </c>
      <c r="G339" s="34" t="s">
        <v>437</v>
      </c>
      <c r="H339" s="34" t="s">
        <v>27</v>
      </c>
      <c r="I339" s="33"/>
      <c r="J339" s="42"/>
      <c r="K339" s="43"/>
      <c r="L339" s="44"/>
      <c r="M33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39" s="38">
        <f>Tableau13452729313335374951944325[[#This Row],[MONTANT OPERATION]]+Tableau13452729313335374951944325[[#This Row],[POS  FUSIONNEE CPTE AVANT OP]]</f>
        <v>0</v>
      </c>
      <c r="O33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39" s="39" t="e">
        <f>Tableau13452729313335374951944325[[#This Row],[DEPASSEMENT TOTAL SUR AUTO
]]/-Tableau13452729313335374951944325[[#This Row],[MONTANT AUTO]]</f>
        <v>#VALUE!</v>
      </c>
      <c r="Q339" s="33"/>
      <c r="R339" s="33"/>
      <c r="S339" s="33"/>
      <c r="T33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39" s="57">
        <f>ABS(Tableau13452729313335374951944325[[#This Row],[MONTANT DEPASSEMENT]]*0.005)</f>
        <v>0</v>
      </c>
      <c r="V339" s="33"/>
      <c r="W339" s="33"/>
      <c r="X339" s="33"/>
      <c r="Y339" s="33"/>
    </row>
    <row r="340" spans="1:25" x14ac:dyDescent="0.25">
      <c r="A340" s="33"/>
      <c r="B340" s="34">
        <v>715</v>
      </c>
      <c r="C340" s="34" t="s">
        <v>439</v>
      </c>
      <c r="D340" s="53" t="s">
        <v>63</v>
      </c>
      <c r="E340" s="53" t="s">
        <v>64</v>
      </c>
      <c r="F340" s="53" t="s">
        <v>266</v>
      </c>
      <c r="G340" s="34" t="s">
        <v>553</v>
      </c>
      <c r="H340" s="34" t="s">
        <v>31</v>
      </c>
      <c r="I340" s="33"/>
      <c r="J340" s="42"/>
      <c r="K340" s="43"/>
      <c r="L340" s="44"/>
      <c r="M34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40" s="38">
        <f>Tableau13452729313335374951944325[[#This Row],[MONTANT OPERATION]]+Tableau13452729313335374951944325[[#This Row],[POS  FUSIONNEE CPTE AVANT OP]]</f>
        <v>0</v>
      </c>
      <c r="O34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40" s="39" t="e">
        <f>Tableau13452729313335374951944325[[#This Row],[DEPASSEMENT TOTAL SUR AUTO
]]/-Tableau13452729313335374951944325[[#This Row],[MONTANT AUTO]]</f>
        <v>#VALUE!</v>
      </c>
      <c r="Q340" s="33"/>
      <c r="R340" s="33"/>
      <c r="S340" s="33"/>
      <c r="T34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40" s="57">
        <f>ABS(Tableau13452729313335374951944325[[#This Row],[MONTANT DEPASSEMENT]]*0.005)</f>
        <v>0</v>
      </c>
      <c r="V340" s="33"/>
      <c r="W340" s="33"/>
      <c r="X340" s="33"/>
      <c r="Y340" s="33"/>
    </row>
    <row r="341" spans="1:25" x14ac:dyDescent="0.25">
      <c r="A341" s="33"/>
      <c r="B341" s="34">
        <v>715</v>
      </c>
      <c r="C341" s="34" t="s">
        <v>439</v>
      </c>
      <c r="D341" s="53" t="s">
        <v>263</v>
      </c>
      <c r="E341" s="53" t="s">
        <v>264</v>
      </c>
      <c r="F341" s="53" t="s">
        <v>265</v>
      </c>
      <c r="G341" s="34" t="s">
        <v>512</v>
      </c>
      <c r="H341" s="34" t="s">
        <v>31</v>
      </c>
      <c r="I341" s="33"/>
      <c r="J341" s="42"/>
      <c r="K341" s="43"/>
      <c r="L341" s="44"/>
      <c r="M34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41" s="38">
        <f>Tableau13452729313335374951944325[[#This Row],[MONTANT OPERATION]]+Tableau13452729313335374951944325[[#This Row],[POS  FUSIONNEE CPTE AVANT OP]]</f>
        <v>0</v>
      </c>
      <c r="O34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41" s="39" t="e">
        <f>Tableau13452729313335374951944325[[#This Row],[DEPASSEMENT TOTAL SUR AUTO
]]/-Tableau13452729313335374951944325[[#This Row],[MONTANT AUTO]]</f>
        <v>#VALUE!</v>
      </c>
      <c r="Q341" s="33"/>
      <c r="R341" s="33"/>
      <c r="S341" s="33"/>
      <c r="T34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41" s="57">
        <f>ABS(Tableau13452729313335374951944325[[#This Row],[MONTANT DEPASSEMENT]]*0.005)</f>
        <v>0</v>
      </c>
      <c r="V341" s="33"/>
      <c r="W341" s="33"/>
      <c r="X341" s="33"/>
      <c r="Y341" s="33"/>
    </row>
    <row r="342" spans="1:25" x14ac:dyDescent="0.25">
      <c r="A342" s="33"/>
      <c r="B342" s="34">
        <v>715</v>
      </c>
      <c r="C342" s="34" t="s">
        <v>439</v>
      </c>
      <c r="D342" s="53" t="s">
        <v>183</v>
      </c>
      <c r="E342" s="53" t="s">
        <v>113</v>
      </c>
      <c r="F342" s="53" t="s">
        <v>184</v>
      </c>
      <c r="G342" s="34" t="s">
        <v>441</v>
      </c>
      <c r="H342" s="34" t="s">
        <v>27</v>
      </c>
      <c r="I342" s="33"/>
      <c r="J342" s="42"/>
      <c r="K342" s="43"/>
      <c r="L342" s="44"/>
      <c r="M34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42" s="38">
        <f>Tableau13452729313335374951944325[[#This Row],[MONTANT OPERATION]]+Tableau13452729313335374951944325[[#This Row],[POS  FUSIONNEE CPTE AVANT OP]]</f>
        <v>0</v>
      </c>
      <c r="O34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42" s="39" t="e">
        <f>Tableau13452729313335374951944325[[#This Row],[DEPASSEMENT TOTAL SUR AUTO
]]/-Tableau13452729313335374951944325[[#This Row],[MONTANT AUTO]]</f>
        <v>#VALUE!</v>
      </c>
      <c r="Q342" s="33"/>
      <c r="R342" s="33"/>
      <c r="S342" s="33"/>
      <c r="T34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42" s="57">
        <f>ABS(Tableau13452729313335374951944325[[#This Row],[MONTANT DEPASSEMENT]]*0.005)</f>
        <v>0</v>
      </c>
      <c r="V342" s="33"/>
      <c r="W342" s="33"/>
      <c r="X342" s="33"/>
      <c r="Y342" s="33"/>
    </row>
    <row r="343" spans="1:25" x14ac:dyDescent="0.25">
      <c r="A343" s="33"/>
      <c r="B343" s="34">
        <v>715</v>
      </c>
      <c r="C343" s="34" t="s">
        <v>439</v>
      </c>
      <c r="D343" s="53" t="s">
        <v>194</v>
      </c>
      <c r="E343" s="53" t="s">
        <v>195</v>
      </c>
      <c r="F343" s="53" t="s">
        <v>196</v>
      </c>
      <c r="G343" s="34" t="s">
        <v>560</v>
      </c>
      <c r="H343" s="34" t="s">
        <v>27</v>
      </c>
      <c r="I343" s="33"/>
      <c r="J343" s="42"/>
      <c r="K343" s="43"/>
      <c r="L343" s="44"/>
      <c r="M34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43" s="38">
        <f>Tableau13452729313335374951944325[[#This Row],[MONTANT OPERATION]]+Tableau13452729313335374951944325[[#This Row],[POS  FUSIONNEE CPTE AVANT OP]]</f>
        <v>0</v>
      </c>
      <c r="O34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43" s="39" t="e">
        <f>Tableau13452729313335374951944325[[#This Row],[DEPASSEMENT TOTAL SUR AUTO
]]/-Tableau13452729313335374951944325[[#This Row],[MONTANT AUTO]]</f>
        <v>#VALUE!</v>
      </c>
      <c r="Q343" s="33"/>
      <c r="R343" s="33"/>
      <c r="S343" s="33"/>
      <c r="T34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43" s="57">
        <f>ABS(Tableau13452729313335374951944325[[#This Row],[MONTANT DEPASSEMENT]]*0.005)</f>
        <v>0</v>
      </c>
      <c r="V343" s="33"/>
      <c r="W343" s="33"/>
      <c r="X343" s="33"/>
      <c r="Y343" s="33"/>
    </row>
    <row r="344" spans="1:25" x14ac:dyDescent="0.25">
      <c r="A344" s="33"/>
      <c r="B344" s="34">
        <v>716</v>
      </c>
      <c r="C344" s="34" t="s">
        <v>563</v>
      </c>
      <c r="D344" s="53" t="s">
        <v>586</v>
      </c>
      <c r="E344" s="53" t="s">
        <v>587</v>
      </c>
      <c r="F344" s="53" t="s">
        <v>210</v>
      </c>
      <c r="G344" s="34" t="s">
        <v>588</v>
      </c>
      <c r="H344" s="34" t="s">
        <v>31</v>
      </c>
      <c r="I344" s="33"/>
      <c r="J344" s="42"/>
      <c r="K344" s="43"/>
      <c r="L344" s="44"/>
      <c r="M34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44" s="38">
        <f>Tableau13452729313335374951944325[[#This Row],[MONTANT OPERATION]]+Tableau13452729313335374951944325[[#This Row],[POS  FUSIONNEE CPTE AVANT OP]]</f>
        <v>0</v>
      </c>
      <c r="O34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44" s="39" t="e">
        <f>Tableau13452729313335374951944325[[#This Row],[DEPASSEMENT TOTAL SUR AUTO
]]/-Tableau13452729313335374951944325[[#This Row],[MONTANT AUTO]]</f>
        <v>#VALUE!</v>
      </c>
      <c r="Q344" s="33"/>
      <c r="R344" s="33"/>
      <c r="S344" s="33"/>
      <c r="T34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44" s="57">
        <f>ABS(Tableau13452729313335374951944325[[#This Row],[MONTANT DEPASSEMENT]]*0.005)</f>
        <v>0</v>
      </c>
      <c r="V344" s="33"/>
      <c r="W344" s="33"/>
      <c r="X344" s="33"/>
      <c r="Y344" s="33"/>
    </row>
    <row r="345" spans="1:25" x14ac:dyDescent="0.25">
      <c r="A345" s="33"/>
      <c r="B345" s="34">
        <v>716</v>
      </c>
      <c r="C345" s="34" t="s">
        <v>563</v>
      </c>
      <c r="D345" s="53" t="s">
        <v>153</v>
      </c>
      <c r="E345" s="53" t="s">
        <v>154</v>
      </c>
      <c r="F345" s="53" t="s">
        <v>191</v>
      </c>
      <c r="G345" s="34" t="s">
        <v>564</v>
      </c>
      <c r="H345" s="34" t="s">
        <v>31</v>
      </c>
      <c r="I345" s="33"/>
      <c r="J345" s="42"/>
      <c r="K345" s="43"/>
      <c r="L345" s="44"/>
      <c r="M34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45" s="38">
        <f>Tableau13452729313335374951944325[[#This Row],[MONTANT OPERATION]]+Tableau13452729313335374951944325[[#This Row],[POS  FUSIONNEE CPTE AVANT OP]]</f>
        <v>0</v>
      </c>
      <c r="O34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45" s="39" t="e">
        <f>Tableau13452729313335374951944325[[#This Row],[DEPASSEMENT TOTAL SUR AUTO
]]/-Tableau13452729313335374951944325[[#This Row],[MONTANT AUTO]]</f>
        <v>#VALUE!</v>
      </c>
      <c r="Q345" s="33"/>
      <c r="R345" s="33"/>
      <c r="S345" s="33"/>
      <c r="T34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45" s="57">
        <f>ABS(Tableau13452729313335374951944325[[#This Row],[MONTANT DEPASSEMENT]]*0.005)</f>
        <v>0</v>
      </c>
      <c r="V345" s="33"/>
      <c r="W345" s="33"/>
      <c r="X345" s="33"/>
      <c r="Y345" s="33"/>
    </row>
    <row r="346" spans="1:25" x14ac:dyDescent="0.25">
      <c r="A346" s="33"/>
      <c r="B346" s="34">
        <v>716</v>
      </c>
      <c r="C346" s="34" t="s">
        <v>563</v>
      </c>
      <c r="D346" s="53" t="s">
        <v>109</v>
      </c>
      <c r="E346" s="53" t="s">
        <v>208</v>
      </c>
      <c r="F346" s="53" t="s">
        <v>205</v>
      </c>
      <c r="G346" s="34" t="s">
        <v>565</v>
      </c>
      <c r="H346" s="34" t="s">
        <v>60</v>
      </c>
      <c r="I346" s="33"/>
      <c r="J346" s="42"/>
      <c r="K346" s="43"/>
      <c r="L346" s="44"/>
      <c r="M34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46" s="38">
        <f>Tableau13452729313335374951944325[[#This Row],[MONTANT OPERATION]]+Tableau13452729313335374951944325[[#This Row],[POS  FUSIONNEE CPTE AVANT OP]]</f>
        <v>0</v>
      </c>
      <c r="O34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46" s="39" t="e">
        <f>Tableau13452729313335374951944325[[#This Row],[DEPASSEMENT TOTAL SUR AUTO
]]/-Tableau13452729313335374951944325[[#This Row],[MONTANT AUTO]]</f>
        <v>#VALUE!</v>
      </c>
      <c r="Q346" s="33"/>
      <c r="R346" s="33"/>
      <c r="S346" s="33"/>
      <c r="T34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46" s="57">
        <f>ABS(Tableau13452729313335374951944325[[#This Row],[MONTANT DEPASSEMENT]]*0.005)</f>
        <v>0</v>
      </c>
      <c r="V346" s="33"/>
      <c r="W346" s="33"/>
      <c r="X346" s="33"/>
      <c r="Y346" s="33"/>
    </row>
    <row r="347" spans="1:25" x14ac:dyDescent="0.25">
      <c r="A347" s="33"/>
      <c r="B347" s="34">
        <v>718</v>
      </c>
      <c r="C347" s="34" t="s">
        <v>462</v>
      </c>
      <c r="D347" s="53" t="s">
        <v>170</v>
      </c>
      <c r="E347" s="53" t="s">
        <v>283</v>
      </c>
      <c r="F347" s="53" t="s">
        <v>284</v>
      </c>
      <c r="G347" s="34" t="s">
        <v>569</v>
      </c>
      <c r="H347" s="34" t="s">
        <v>60</v>
      </c>
      <c r="I347" s="33"/>
      <c r="J347" s="42"/>
      <c r="K347" s="43"/>
      <c r="L347" s="44"/>
      <c r="M34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47" s="38">
        <f>Tableau13452729313335374951944325[[#This Row],[MONTANT OPERATION]]+Tableau13452729313335374951944325[[#This Row],[POS  FUSIONNEE CPTE AVANT OP]]</f>
        <v>0</v>
      </c>
      <c r="O34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47" s="39" t="e">
        <f>Tableau13452729313335374951944325[[#This Row],[DEPASSEMENT TOTAL SUR AUTO
]]/-Tableau13452729313335374951944325[[#This Row],[MONTANT AUTO]]</f>
        <v>#VALUE!</v>
      </c>
      <c r="Q347" s="33"/>
      <c r="R347" s="33"/>
      <c r="S347" s="33"/>
      <c r="T34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47" s="57">
        <f>ABS(Tableau13452729313335374951944325[[#This Row],[MONTANT DEPASSEMENT]]*0.005)</f>
        <v>0</v>
      </c>
      <c r="V347" s="33"/>
      <c r="W347" s="33"/>
      <c r="X347" s="33"/>
      <c r="Y347" s="33"/>
    </row>
    <row r="348" spans="1:25" x14ac:dyDescent="0.25">
      <c r="A348" s="33"/>
      <c r="B348" s="34">
        <v>718</v>
      </c>
      <c r="C348" s="34" t="s">
        <v>462</v>
      </c>
      <c r="D348" s="53" t="s">
        <v>367</v>
      </c>
      <c r="E348" s="53" t="s">
        <v>368</v>
      </c>
      <c r="F348" s="53" t="s">
        <v>230</v>
      </c>
      <c r="G348" s="34" t="s">
        <v>570</v>
      </c>
      <c r="H348" s="34" t="s">
        <v>31</v>
      </c>
      <c r="I348" s="33"/>
      <c r="J348" s="42"/>
      <c r="K348" s="43"/>
      <c r="L348" s="44"/>
      <c r="M34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48" s="38">
        <f>Tableau13452729313335374951944325[[#This Row],[MONTANT OPERATION]]+Tableau13452729313335374951944325[[#This Row],[POS  FUSIONNEE CPTE AVANT OP]]</f>
        <v>0</v>
      </c>
      <c r="O34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48" s="39" t="e">
        <f>Tableau13452729313335374951944325[[#This Row],[DEPASSEMENT TOTAL SUR AUTO
]]/-Tableau13452729313335374951944325[[#This Row],[MONTANT AUTO]]</f>
        <v>#VALUE!</v>
      </c>
      <c r="Q348" s="33"/>
      <c r="R348" s="33"/>
      <c r="S348" s="33"/>
      <c r="T34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48" s="57">
        <f>ABS(Tableau13452729313335374951944325[[#This Row],[MONTANT DEPASSEMENT]]*0.005)</f>
        <v>0</v>
      </c>
      <c r="V348" s="33"/>
      <c r="W348" s="33"/>
      <c r="X348" s="33"/>
      <c r="Y348" s="33"/>
    </row>
    <row r="349" spans="1:25" x14ac:dyDescent="0.25">
      <c r="A349" s="33"/>
      <c r="B349" s="34">
        <v>718</v>
      </c>
      <c r="C349" s="34" t="s">
        <v>462</v>
      </c>
      <c r="D349" s="53" t="s">
        <v>75</v>
      </c>
      <c r="E349" s="53" t="s">
        <v>76</v>
      </c>
      <c r="F349" s="53" t="s">
        <v>77</v>
      </c>
      <c r="G349" s="34" t="s">
        <v>571</v>
      </c>
      <c r="H349" s="34" t="s">
        <v>31</v>
      </c>
      <c r="I349" s="33"/>
      <c r="J349" s="42"/>
      <c r="K349" s="43"/>
      <c r="L349" s="44"/>
      <c r="M34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49" s="38">
        <f>Tableau13452729313335374951944325[[#This Row],[MONTANT OPERATION]]+Tableau13452729313335374951944325[[#This Row],[POS  FUSIONNEE CPTE AVANT OP]]</f>
        <v>0</v>
      </c>
      <c r="O34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49" s="39" t="e">
        <f>Tableau13452729313335374951944325[[#This Row],[DEPASSEMENT TOTAL SUR AUTO
]]/-Tableau13452729313335374951944325[[#This Row],[MONTANT AUTO]]</f>
        <v>#VALUE!</v>
      </c>
      <c r="Q349" s="33"/>
      <c r="R349" s="33"/>
      <c r="S349" s="33"/>
      <c r="T34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49" s="57">
        <f>ABS(Tableau13452729313335374951944325[[#This Row],[MONTANT DEPASSEMENT]]*0.005)</f>
        <v>0</v>
      </c>
      <c r="V349" s="33"/>
      <c r="W349" s="33"/>
      <c r="X349" s="33"/>
      <c r="Y349" s="33"/>
    </row>
    <row r="350" spans="1:25" x14ac:dyDescent="0.25">
      <c r="A350" s="33"/>
      <c r="B350" s="34">
        <v>505</v>
      </c>
      <c r="C350" s="34" t="s">
        <v>579</v>
      </c>
      <c r="D350" s="53" t="s">
        <v>313</v>
      </c>
      <c r="E350" s="53" t="s">
        <v>314</v>
      </c>
      <c r="F350" s="53" t="s">
        <v>273</v>
      </c>
      <c r="G350" s="34" t="s">
        <v>580</v>
      </c>
      <c r="H350" s="34" t="s">
        <v>31</v>
      </c>
      <c r="I350" s="33"/>
      <c r="J350" s="42"/>
      <c r="K350" s="43"/>
      <c r="L350" s="44"/>
      <c r="M35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50" s="38">
        <f>Tableau13452729313335374951944325[[#This Row],[MONTANT OPERATION]]+Tableau13452729313335374951944325[[#This Row],[POS  FUSIONNEE CPTE AVANT OP]]</f>
        <v>0</v>
      </c>
      <c r="O35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50" s="39" t="e">
        <f>Tableau13452729313335374951944325[[#This Row],[DEPASSEMENT TOTAL SUR AUTO
]]/-Tableau13452729313335374951944325[[#This Row],[MONTANT AUTO]]</f>
        <v>#VALUE!</v>
      </c>
      <c r="Q350" s="33"/>
      <c r="R350" s="33"/>
      <c r="S350" s="33"/>
      <c r="T35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50" s="57">
        <f>ABS(Tableau13452729313335374951944325[[#This Row],[MONTANT DEPASSEMENT]]*0.005)</f>
        <v>0</v>
      </c>
      <c r="V350" s="33"/>
      <c r="W350" s="33"/>
      <c r="X350" s="33"/>
      <c r="Y350" s="33"/>
    </row>
    <row r="351" spans="1:25" x14ac:dyDescent="0.25">
      <c r="A351" s="33"/>
      <c r="B351" s="34">
        <v>800</v>
      </c>
      <c r="C351" s="34" t="s">
        <v>444</v>
      </c>
      <c r="D351" s="53" t="s">
        <v>73</v>
      </c>
      <c r="E351" s="53" t="s">
        <v>74</v>
      </c>
      <c r="F351" s="53" t="s">
        <v>330</v>
      </c>
      <c r="G351" s="34" t="s">
        <v>592</v>
      </c>
      <c r="H351" s="34" t="s">
        <v>31</v>
      </c>
      <c r="I351" s="33"/>
      <c r="J351" s="42"/>
      <c r="K351" s="43"/>
      <c r="L351" s="44"/>
      <c r="M35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51" s="38">
        <f>Tableau13452729313335374951944325[[#This Row],[MONTANT OPERATION]]+Tableau13452729313335374951944325[[#This Row],[POS  FUSIONNEE CPTE AVANT OP]]</f>
        <v>0</v>
      </c>
      <c r="O35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51" s="39" t="e">
        <f>Tableau13452729313335374951944325[[#This Row],[DEPASSEMENT TOTAL SUR AUTO
]]/-Tableau13452729313335374951944325[[#This Row],[MONTANT AUTO]]</f>
        <v>#VALUE!</v>
      </c>
      <c r="Q351" s="33"/>
      <c r="R351" s="33"/>
      <c r="S351" s="33"/>
      <c r="T35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51" s="57">
        <f>ABS(Tableau13452729313335374951944325[[#This Row],[MONTANT DEPASSEMENT]]*0.005)</f>
        <v>0</v>
      </c>
      <c r="V351" s="33"/>
      <c r="W351" s="33"/>
      <c r="X351" s="33"/>
      <c r="Y351" s="33"/>
    </row>
    <row r="352" spans="1:25" x14ac:dyDescent="0.25">
      <c r="A352" s="33"/>
      <c r="B352" s="34">
        <v>800</v>
      </c>
      <c r="C352" s="34" t="s">
        <v>444</v>
      </c>
      <c r="D352" s="53" t="s">
        <v>167</v>
      </c>
      <c r="E352" s="53" t="s">
        <v>168</v>
      </c>
      <c r="F352" s="53" t="s">
        <v>210</v>
      </c>
      <c r="G352" s="34" t="s">
        <v>581</v>
      </c>
      <c r="H352" s="34" t="s">
        <v>31</v>
      </c>
      <c r="I352" s="33"/>
      <c r="J352" s="42"/>
      <c r="K352" s="43"/>
      <c r="L352" s="44"/>
      <c r="M35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52" s="38">
        <f>Tableau13452729313335374951944325[[#This Row],[MONTANT OPERATION]]+Tableau13452729313335374951944325[[#This Row],[POS  FUSIONNEE CPTE AVANT OP]]</f>
        <v>0</v>
      </c>
      <c r="O35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52" s="39" t="e">
        <f>Tableau13452729313335374951944325[[#This Row],[DEPASSEMENT TOTAL SUR AUTO
]]/-Tableau13452729313335374951944325[[#This Row],[MONTANT AUTO]]</f>
        <v>#VALUE!</v>
      </c>
      <c r="Q352" s="33"/>
      <c r="R352" s="33"/>
      <c r="S352" s="33"/>
      <c r="T35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52" s="57">
        <f>ABS(Tableau13452729313335374951944325[[#This Row],[MONTANT DEPASSEMENT]]*0.005)</f>
        <v>0</v>
      </c>
      <c r="V352" s="33"/>
      <c r="W352" s="33"/>
      <c r="X352" s="33"/>
      <c r="Y352" s="33"/>
    </row>
    <row r="353" spans="1:25" x14ac:dyDescent="0.25">
      <c r="A353" s="33"/>
      <c r="B353" s="34">
        <v>800</v>
      </c>
      <c r="C353" s="34" t="s">
        <v>444</v>
      </c>
      <c r="D353" s="53" t="s">
        <v>232</v>
      </c>
      <c r="E353" s="53" t="s">
        <v>233</v>
      </c>
      <c r="F353" s="53" t="s">
        <v>152</v>
      </c>
      <c r="G353" s="34" t="s">
        <v>465</v>
      </c>
      <c r="H353" s="34" t="s">
        <v>31</v>
      </c>
      <c r="I353" s="33"/>
      <c r="J353" s="42"/>
      <c r="K353" s="43"/>
      <c r="L353" s="44"/>
      <c r="M35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53" s="38">
        <f>Tableau13452729313335374951944325[[#This Row],[MONTANT OPERATION]]+Tableau13452729313335374951944325[[#This Row],[POS  FUSIONNEE CPTE AVANT OP]]</f>
        <v>0</v>
      </c>
      <c r="O35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53" s="39" t="e">
        <f>Tableau13452729313335374951944325[[#This Row],[DEPASSEMENT TOTAL SUR AUTO
]]/-Tableau13452729313335374951944325[[#This Row],[MONTANT AUTO]]</f>
        <v>#VALUE!</v>
      </c>
      <c r="Q353" s="33"/>
      <c r="R353" s="33"/>
      <c r="S353" s="33"/>
      <c r="T35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53" s="57">
        <f>ABS(Tableau13452729313335374951944325[[#This Row],[MONTANT DEPASSEMENT]]*0.005)</f>
        <v>0</v>
      </c>
      <c r="V353" s="33"/>
      <c r="W353" s="33"/>
      <c r="X353" s="33"/>
      <c r="Y353" s="33"/>
    </row>
    <row r="354" spans="1:25" x14ac:dyDescent="0.25">
      <c r="A354" s="33"/>
      <c r="B354" s="34">
        <v>800</v>
      </c>
      <c r="C354" s="34" t="s">
        <v>444</v>
      </c>
      <c r="D354" s="53" t="s">
        <v>97</v>
      </c>
      <c r="E354" s="53" t="s">
        <v>98</v>
      </c>
      <c r="F354" s="53" t="s">
        <v>81</v>
      </c>
      <c r="G354" s="34" t="s">
        <v>445</v>
      </c>
      <c r="H354" s="34" t="s">
        <v>31</v>
      </c>
      <c r="I354" s="33"/>
      <c r="J354" s="42"/>
      <c r="K354" s="43"/>
      <c r="L354" s="44"/>
      <c r="M35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54" s="38">
        <f>Tableau13452729313335374951944325[[#This Row],[MONTANT OPERATION]]+Tableau13452729313335374951944325[[#This Row],[POS  FUSIONNEE CPTE AVANT OP]]</f>
        <v>0</v>
      </c>
      <c r="O35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54" s="39" t="e">
        <f>Tableau13452729313335374951944325[[#This Row],[DEPASSEMENT TOTAL SUR AUTO
]]/-Tableau13452729313335374951944325[[#This Row],[MONTANT AUTO]]</f>
        <v>#VALUE!</v>
      </c>
      <c r="Q354" s="33"/>
      <c r="R354" s="33"/>
      <c r="S354" s="33"/>
      <c r="T35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54" s="57">
        <f>ABS(Tableau13452729313335374951944325[[#This Row],[MONTANT DEPASSEMENT]]*0.005)</f>
        <v>0</v>
      </c>
      <c r="V354" s="33"/>
      <c r="W354" s="33"/>
      <c r="X354" s="33"/>
      <c r="Y354" s="33"/>
    </row>
    <row r="355" spans="1:25" x14ac:dyDescent="0.25">
      <c r="A355" s="33"/>
      <c r="B355" s="34">
        <v>800</v>
      </c>
      <c r="C355" s="34" t="s">
        <v>444</v>
      </c>
      <c r="D355" s="53" t="s">
        <v>188</v>
      </c>
      <c r="E355" s="53" t="s">
        <v>189</v>
      </c>
      <c r="F355" s="53" t="s">
        <v>203</v>
      </c>
      <c r="G355" s="34" t="s">
        <v>624</v>
      </c>
      <c r="H355" s="34" t="s">
        <v>31</v>
      </c>
      <c r="I355" s="33"/>
      <c r="J355" s="42"/>
      <c r="K355" s="43"/>
      <c r="L355" s="44"/>
      <c r="M35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55" s="38">
        <f>Tableau13452729313335374951944325[[#This Row],[MONTANT OPERATION]]+Tableau13452729313335374951944325[[#This Row],[POS  FUSIONNEE CPTE AVANT OP]]</f>
        <v>0</v>
      </c>
      <c r="O35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55" s="39" t="e">
        <f>Tableau13452729313335374951944325[[#This Row],[DEPASSEMENT TOTAL SUR AUTO
]]/-Tableau13452729313335374951944325[[#This Row],[MONTANT AUTO]]</f>
        <v>#VALUE!</v>
      </c>
      <c r="Q355" s="33"/>
      <c r="R355" s="33"/>
      <c r="S355" s="33"/>
      <c r="T35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55" s="57">
        <f>ABS(Tableau13452729313335374951944325[[#This Row],[MONTANT DEPASSEMENT]]*0.005)</f>
        <v>0</v>
      </c>
      <c r="V355" s="33"/>
      <c r="W355" s="33"/>
      <c r="X355" s="33"/>
      <c r="Y355" s="33"/>
    </row>
    <row r="356" spans="1:25" x14ac:dyDescent="0.25">
      <c r="A356" s="33"/>
      <c r="B356" s="34">
        <v>800</v>
      </c>
      <c r="C356" s="34" t="s">
        <v>444</v>
      </c>
      <c r="D356" s="53" t="s">
        <v>226</v>
      </c>
      <c r="E356" s="53" t="s">
        <v>594</v>
      </c>
      <c r="F356" s="53" t="s">
        <v>324</v>
      </c>
      <c r="G356" s="34" t="s">
        <v>558</v>
      </c>
      <c r="H356" s="34" t="s">
        <v>31</v>
      </c>
      <c r="I356" s="33"/>
      <c r="J356" s="42"/>
      <c r="K356" s="43"/>
      <c r="L356" s="44"/>
      <c r="M35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56" s="38">
        <f>Tableau13452729313335374951944325[[#This Row],[MONTANT OPERATION]]+Tableau13452729313335374951944325[[#This Row],[POS  FUSIONNEE CPTE AVANT OP]]</f>
        <v>0</v>
      </c>
      <c r="O35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56" s="39" t="e">
        <f>Tableau13452729313335374951944325[[#This Row],[DEPASSEMENT TOTAL SUR AUTO
]]/-Tableau13452729313335374951944325[[#This Row],[MONTANT AUTO]]</f>
        <v>#VALUE!</v>
      </c>
      <c r="Q356" s="33"/>
      <c r="R356" s="33"/>
      <c r="S356" s="33"/>
      <c r="T35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56" s="57">
        <f>ABS(Tableau13452729313335374951944325[[#This Row],[MONTANT DEPASSEMENT]]*0.005)</f>
        <v>0</v>
      </c>
      <c r="V356" s="33"/>
      <c r="W356" s="33"/>
      <c r="X356" s="33"/>
      <c r="Y356" s="33"/>
    </row>
    <row r="357" spans="1:25" x14ac:dyDescent="0.25">
      <c r="A357" s="33"/>
      <c r="B357" s="34">
        <v>800</v>
      </c>
      <c r="C357" s="34" t="s">
        <v>444</v>
      </c>
      <c r="D357" s="53" t="s">
        <v>226</v>
      </c>
      <c r="E357" s="53" t="s">
        <v>227</v>
      </c>
      <c r="F357" s="53" t="s">
        <v>228</v>
      </c>
      <c r="G357" s="34" t="s">
        <v>558</v>
      </c>
      <c r="H357" s="34" t="s">
        <v>60</v>
      </c>
      <c r="I357" s="33"/>
      <c r="J357" s="42"/>
      <c r="K357" s="43"/>
      <c r="L357" s="44"/>
      <c r="M35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57" s="38">
        <f>Tableau13452729313335374951944325[[#This Row],[MONTANT OPERATION]]+Tableau13452729313335374951944325[[#This Row],[POS  FUSIONNEE CPTE AVANT OP]]</f>
        <v>0</v>
      </c>
      <c r="O35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57" s="39" t="e">
        <f>Tableau13452729313335374951944325[[#This Row],[DEPASSEMENT TOTAL SUR AUTO
]]/-Tableau13452729313335374951944325[[#This Row],[MONTANT AUTO]]</f>
        <v>#VALUE!</v>
      </c>
      <c r="Q357" s="33"/>
      <c r="R357" s="33"/>
      <c r="S357" s="33"/>
      <c r="T35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57" s="57">
        <f>ABS(Tableau13452729313335374951944325[[#This Row],[MONTANT DEPASSEMENT]]*0.005)</f>
        <v>0</v>
      </c>
      <c r="V357" s="33"/>
      <c r="W357" s="33"/>
      <c r="X357" s="33"/>
      <c r="Y357" s="33"/>
    </row>
    <row r="358" spans="1:25" x14ac:dyDescent="0.25">
      <c r="A358" s="33"/>
      <c r="B358" s="34">
        <v>803</v>
      </c>
      <c r="C358" s="34" t="s">
        <v>447</v>
      </c>
      <c r="D358" s="53" t="s">
        <v>70</v>
      </c>
      <c r="E358" s="53" t="s">
        <v>71</v>
      </c>
      <c r="F358" s="53" t="s">
        <v>96</v>
      </c>
      <c r="G358" s="34" t="s">
        <v>448</v>
      </c>
      <c r="H358" s="34" t="s">
        <v>31</v>
      </c>
      <c r="I358" s="33"/>
      <c r="J358" s="42"/>
      <c r="K358" s="43"/>
      <c r="L358" s="44"/>
      <c r="M35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58" s="38">
        <f>Tableau13452729313335374951944325[[#This Row],[MONTANT OPERATION]]+Tableau13452729313335374951944325[[#This Row],[POS  FUSIONNEE CPTE AVANT OP]]</f>
        <v>0</v>
      </c>
      <c r="O35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58" s="39" t="e">
        <f>Tableau13452729313335374951944325[[#This Row],[DEPASSEMENT TOTAL SUR AUTO
]]/-Tableau13452729313335374951944325[[#This Row],[MONTANT AUTO]]</f>
        <v>#VALUE!</v>
      </c>
      <c r="Q358" s="33"/>
      <c r="R358" s="33"/>
      <c r="S358" s="33"/>
      <c r="T35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58" s="57">
        <f>ABS(Tableau13452729313335374951944325[[#This Row],[MONTANT DEPASSEMENT]]*0.005)</f>
        <v>0</v>
      </c>
      <c r="V358" s="33"/>
      <c r="W358" s="33"/>
      <c r="X358" s="33"/>
      <c r="Y358" s="33"/>
    </row>
    <row r="359" spans="1:25" x14ac:dyDescent="0.25">
      <c r="A359" s="33"/>
      <c r="B359" s="34">
        <v>803</v>
      </c>
      <c r="C359" s="34" t="s">
        <v>447</v>
      </c>
      <c r="D359" s="53" t="s">
        <v>56</v>
      </c>
      <c r="E359" s="53" t="s">
        <v>57</v>
      </c>
      <c r="F359" s="53" t="s">
        <v>116</v>
      </c>
      <c r="G359" s="34" t="s">
        <v>596</v>
      </c>
      <c r="H359" s="34" t="s">
        <v>31</v>
      </c>
      <c r="I359" s="33"/>
      <c r="J359" s="42"/>
      <c r="K359" s="43"/>
      <c r="L359" s="44"/>
      <c r="M35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59" s="38">
        <f>Tableau13452729313335374951944325[[#This Row],[MONTANT OPERATION]]+Tableau13452729313335374951944325[[#This Row],[POS  FUSIONNEE CPTE AVANT OP]]</f>
        <v>0</v>
      </c>
      <c r="O35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59" s="39" t="e">
        <f>Tableau13452729313335374951944325[[#This Row],[DEPASSEMENT TOTAL SUR AUTO
]]/-Tableau13452729313335374951944325[[#This Row],[MONTANT AUTO]]</f>
        <v>#VALUE!</v>
      </c>
      <c r="Q359" s="33"/>
      <c r="R359" s="33"/>
      <c r="S359" s="33"/>
      <c r="T35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59" s="57">
        <f>ABS(Tableau13452729313335374951944325[[#This Row],[MONTANT DEPASSEMENT]]*0.005)</f>
        <v>0</v>
      </c>
      <c r="V359" s="33"/>
      <c r="W359" s="33"/>
      <c r="X359" s="33"/>
      <c r="Y359" s="33"/>
    </row>
    <row r="360" spans="1:25" x14ac:dyDescent="0.25">
      <c r="A360" s="33"/>
      <c r="B360" s="34">
        <v>803</v>
      </c>
      <c r="C360" s="34" t="s">
        <v>447</v>
      </c>
      <c r="D360" s="53" t="s">
        <v>33</v>
      </c>
      <c r="E360" s="53" t="s">
        <v>34</v>
      </c>
      <c r="F360" s="53" t="s">
        <v>230</v>
      </c>
      <c r="G360" s="34" t="s">
        <v>466</v>
      </c>
      <c r="H360" s="34" t="s">
        <v>31</v>
      </c>
      <c r="I360" s="33"/>
      <c r="J360" s="42"/>
      <c r="K360" s="43"/>
      <c r="L360" s="44"/>
      <c r="M36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60" s="38">
        <f>Tableau13452729313335374951944325[[#This Row],[MONTANT OPERATION]]+Tableau13452729313335374951944325[[#This Row],[POS  FUSIONNEE CPTE AVANT OP]]</f>
        <v>0</v>
      </c>
      <c r="O36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60" s="39" t="e">
        <f>Tableau13452729313335374951944325[[#This Row],[DEPASSEMENT TOTAL SUR AUTO
]]/-Tableau13452729313335374951944325[[#This Row],[MONTANT AUTO]]</f>
        <v>#VALUE!</v>
      </c>
      <c r="Q360" s="33"/>
      <c r="R360" s="33"/>
      <c r="S360" s="33"/>
      <c r="T36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60" s="57">
        <f>ABS(Tableau13452729313335374951944325[[#This Row],[MONTANT DEPASSEMENT]]*0.005)</f>
        <v>0</v>
      </c>
      <c r="V360" s="33"/>
      <c r="W360" s="33"/>
      <c r="X360" s="33"/>
      <c r="Y360" s="33"/>
    </row>
    <row r="361" spans="1:25" x14ac:dyDescent="0.25">
      <c r="A361" s="33"/>
      <c r="B361" s="34">
        <v>803</v>
      </c>
      <c r="C361" s="34" t="s">
        <v>447</v>
      </c>
      <c r="D361" s="53" t="s">
        <v>625</v>
      </c>
      <c r="E361" s="53" t="s">
        <v>626</v>
      </c>
      <c r="F361" s="53" t="s">
        <v>297</v>
      </c>
      <c r="G361" s="34" t="s">
        <v>627</v>
      </c>
      <c r="H361" s="34" t="s">
        <v>31</v>
      </c>
      <c r="I361" s="33"/>
      <c r="J361" s="42"/>
      <c r="K361" s="43"/>
      <c r="L361" s="44"/>
      <c r="M36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61" s="38">
        <f>Tableau13452729313335374951944325[[#This Row],[MONTANT OPERATION]]+Tableau13452729313335374951944325[[#This Row],[POS  FUSIONNEE CPTE AVANT OP]]</f>
        <v>0</v>
      </c>
      <c r="O36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61" s="39" t="e">
        <f>Tableau13452729313335374951944325[[#This Row],[DEPASSEMENT TOTAL SUR AUTO
]]/-Tableau13452729313335374951944325[[#This Row],[MONTANT AUTO]]</f>
        <v>#VALUE!</v>
      </c>
      <c r="Q361" s="33"/>
      <c r="R361" s="33"/>
      <c r="S361" s="33"/>
      <c r="T36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61" s="57">
        <f>ABS(Tableau13452729313335374951944325[[#This Row],[MONTANT DEPASSEMENT]]*0.005)</f>
        <v>0</v>
      </c>
      <c r="V361" s="33"/>
      <c r="W361" s="33"/>
      <c r="X361" s="33"/>
      <c r="Y361" s="33"/>
    </row>
    <row r="362" spans="1:25" x14ac:dyDescent="0.25">
      <c r="A362" s="33"/>
      <c r="B362" s="34">
        <v>803</v>
      </c>
      <c r="C362" s="34" t="s">
        <v>447</v>
      </c>
      <c r="D362" s="53" t="s">
        <v>386</v>
      </c>
      <c r="E362" s="53" t="s">
        <v>387</v>
      </c>
      <c r="F362" s="53" t="s">
        <v>228</v>
      </c>
      <c r="G362" s="34" t="s">
        <v>559</v>
      </c>
      <c r="H362" s="34" t="s">
        <v>27</v>
      </c>
      <c r="I362" s="33"/>
      <c r="J362" s="42"/>
      <c r="K362" s="43"/>
      <c r="L362" s="44"/>
      <c r="M36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62" s="38">
        <f>Tableau13452729313335374951944325[[#This Row],[MONTANT OPERATION]]+Tableau13452729313335374951944325[[#This Row],[POS  FUSIONNEE CPTE AVANT OP]]</f>
        <v>0</v>
      </c>
      <c r="O36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62" s="39" t="e">
        <f>Tableau13452729313335374951944325[[#This Row],[DEPASSEMENT TOTAL SUR AUTO
]]/-Tableau13452729313335374951944325[[#This Row],[MONTANT AUTO]]</f>
        <v>#VALUE!</v>
      </c>
      <c r="Q362" s="33"/>
      <c r="R362" s="33"/>
      <c r="S362" s="33"/>
      <c r="T36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62" s="57">
        <f>ABS(Tableau13452729313335374951944325[[#This Row],[MONTANT DEPASSEMENT]]*0.005)</f>
        <v>0</v>
      </c>
      <c r="V362" s="33"/>
      <c r="W362" s="33"/>
      <c r="X362" s="33"/>
      <c r="Y362" s="33"/>
    </row>
    <row r="363" spans="1:25" x14ac:dyDescent="0.25">
      <c r="A363" s="33"/>
      <c r="B363" s="34">
        <v>803</v>
      </c>
      <c r="C363" s="34" t="s">
        <v>447</v>
      </c>
      <c r="D363" s="53" t="s">
        <v>402</v>
      </c>
      <c r="E363" s="53" t="s">
        <v>403</v>
      </c>
      <c r="F363" s="53" t="s">
        <v>304</v>
      </c>
      <c r="G363" s="34" t="s">
        <v>602</v>
      </c>
      <c r="H363" s="34" t="s">
        <v>31</v>
      </c>
      <c r="I363" s="33"/>
      <c r="J363" s="42"/>
      <c r="K363" s="43"/>
      <c r="L363" s="44"/>
      <c r="M36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63" s="38">
        <f>Tableau13452729313335374951944325[[#This Row],[MONTANT OPERATION]]+Tableau13452729313335374951944325[[#This Row],[POS  FUSIONNEE CPTE AVANT OP]]</f>
        <v>0</v>
      </c>
      <c r="O36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63" s="39" t="e">
        <f>Tableau13452729313335374951944325[[#This Row],[DEPASSEMENT TOTAL SUR AUTO
]]/-Tableau13452729313335374951944325[[#This Row],[MONTANT AUTO]]</f>
        <v>#VALUE!</v>
      </c>
      <c r="Q363" s="33"/>
      <c r="R363" s="33"/>
      <c r="S363" s="33"/>
      <c r="T36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63" s="57">
        <f>ABS(Tableau13452729313335374951944325[[#This Row],[MONTANT DEPASSEMENT]]*0.005)</f>
        <v>0</v>
      </c>
      <c r="V363" s="33"/>
      <c r="W363" s="33"/>
      <c r="X363" s="33"/>
      <c r="Y363" s="33"/>
    </row>
    <row r="364" spans="1:25" x14ac:dyDescent="0.25">
      <c r="A364" s="33"/>
      <c r="B364" s="34">
        <v>803</v>
      </c>
      <c r="C364" s="34" t="s">
        <v>447</v>
      </c>
      <c r="D364" s="53" t="s">
        <v>407</v>
      </c>
      <c r="E364" s="53" t="s">
        <v>408</v>
      </c>
      <c r="F364" s="53" t="s">
        <v>279</v>
      </c>
      <c r="G364" s="34" t="s">
        <v>578</v>
      </c>
      <c r="H364" s="34" t="s">
        <v>31</v>
      </c>
      <c r="I364" s="33"/>
      <c r="J364" s="42"/>
      <c r="K364" s="43"/>
      <c r="L364" s="44"/>
      <c r="M36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64" s="38">
        <f>Tableau13452729313335374951944325[[#This Row],[MONTANT OPERATION]]+Tableau13452729313335374951944325[[#This Row],[POS  FUSIONNEE CPTE AVANT OP]]</f>
        <v>0</v>
      </c>
      <c r="O36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64" s="39" t="e">
        <f>Tableau13452729313335374951944325[[#This Row],[DEPASSEMENT TOTAL SUR AUTO
]]/-Tableau13452729313335374951944325[[#This Row],[MONTANT AUTO]]</f>
        <v>#VALUE!</v>
      </c>
      <c r="Q364" s="33"/>
      <c r="R364" s="33"/>
      <c r="S364" s="33"/>
      <c r="T36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64" s="57">
        <f>ABS(Tableau13452729313335374951944325[[#This Row],[MONTANT DEPASSEMENT]]*0.005)</f>
        <v>0</v>
      </c>
      <c r="V364" s="33"/>
      <c r="W364" s="33"/>
      <c r="X364" s="33"/>
      <c r="Y364" s="33"/>
    </row>
    <row r="365" spans="1:25" x14ac:dyDescent="0.25">
      <c r="A365" s="33"/>
      <c r="B365" s="34">
        <v>806</v>
      </c>
      <c r="C365" s="34" t="s">
        <v>492</v>
      </c>
      <c r="D365" s="53" t="s">
        <v>543</v>
      </c>
      <c r="E365" s="53" t="s">
        <v>544</v>
      </c>
      <c r="F365" s="53" t="s">
        <v>302</v>
      </c>
      <c r="G365" s="34" t="s">
        <v>545</v>
      </c>
      <c r="H365" s="34" t="s">
        <v>31</v>
      </c>
      <c r="I365" s="33"/>
      <c r="J365" s="42"/>
      <c r="K365" s="43"/>
      <c r="L365" s="44"/>
      <c r="M36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65" s="38">
        <f>Tableau13452729313335374951944325[[#This Row],[MONTANT OPERATION]]+Tableau13452729313335374951944325[[#This Row],[POS  FUSIONNEE CPTE AVANT OP]]</f>
        <v>0</v>
      </c>
      <c r="O36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65" s="39" t="e">
        <f>Tableau13452729313335374951944325[[#This Row],[DEPASSEMENT TOTAL SUR AUTO
]]/-Tableau13452729313335374951944325[[#This Row],[MONTANT AUTO]]</f>
        <v>#VALUE!</v>
      </c>
      <c r="Q365" s="33"/>
      <c r="R365" s="33"/>
      <c r="S365" s="33"/>
      <c r="T36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65" s="57">
        <f>ABS(Tableau13452729313335374951944325[[#This Row],[MONTANT DEPASSEMENT]]*0.005)</f>
        <v>0</v>
      </c>
      <c r="V365" s="33"/>
      <c r="W365" s="33"/>
      <c r="X365" s="33"/>
      <c r="Y365" s="33"/>
    </row>
    <row r="366" spans="1:25" x14ac:dyDescent="0.25">
      <c r="A366" s="33"/>
      <c r="B366" s="34">
        <v>806</v>
      </c>
      <c r="C366" s="34" t="s">
        <v>492</v>
      </c>
      <c r="D366" s="53" t="s">
        <v>150</v>
      </c>
      <c r="E366" s="53" t="s">
        <v>151</v>
      </c>
      <c r="F366" s="53" t="s">
        <v>152</v>
      </c>
      <c r="G366" s="34" t="s">
        <v>493</v>
      </c>
      <c r="H366" s="34" t="s">
        <v>31</v>
      </c>
      <c r="I366" s="33"/>
      <c r="J366" s="42"/>
      <c r="K366" s="43"/>
      <c r="L366" s="44"/>
      <c r="M36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66" s="38">
        <f>Tableau13452729313335374951944325[[#This Row],[MONTANT OPERATION]]+Tableau13452729313335374951944325[[#This Row],[POS  FUSIONNEE CPTE AVANT OP]]</f>
        <v>0</v>
      </c>
      <c r="O36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66" s="39" t="e">
        <f>Tableau13452729313335374951944325[[#This Row],[DEPASSEMENT TOTAL SUR AUTO
]]/-Tableau13452729313335374951944325[[#This Row],[MONTANT AUTO]]</f>
        <v>#VALUE!</v>
      </c>
      <c r="Q366" s="33"/>
      <c r="R366" s="33"/>
      <c r="S366" s="33"/>
      <c r="T36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66" s="57">
        <f>ABS(Tableau13452729313335374951944325[[#This Row],[MONTANT DEPASSEMENT]]*0.005)</f>
        <v>0</v>
      </c>
      <c r="V366" s="33"/>
      <c r="W366" s="33"/>
      <c r="X366" s="33"/>
      <c r="Y366" s="33"/>
    </row>
    <row r="367" spans="1:25" x14ac:dyDescent="0.25">
      <c r="A367" s="33"/>
      <c r="B367" s="34">
        <v>807</v>
      </c>
      <c r="C367" s="34" t="s">
        <v>442</v>
      </c>
      <c r="D367" s="53" t="s">
        <v>155</v>
      </c>
      <c r="E367" s="53" t="s">
        <v>156</v>
      </c>
      <c r="F367" s="53" t="s">
        <v>108</v>
      </c>
      <c r="G367" s="34" t="s">
        <v>468</v>
      </c>
      <c r="H367" s="34" t="s">
        <v>31</v>
      </c>
      <c r="I367" s="33"/>
      <c r="J367" s="42"/>
      <c r="K367" s="43"/>
      <c r="L367" s="44"/>
      <c r="M36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67" s="38">
        <f>Tableau13452729313335374951944325[[#This Row],[MONTANT OPERATION]]+Tableau13452729313335374951944325[[#This Row],[POS  FUSIONNEE CPTE AVANT OP]]</f>
        <v>0</v>
      </c>
      <c r="O36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67" s="39" t="e">
        <f>Tableau13452729313335374951944325[[#This Row],[DEPASSEMENT TOTAL SUR AUTO
]]/-Tableau13452729313335374951944325[[#This Row],[MONTANT AUTO]]</f>
        <v>#VALUE!</v>
      </c>
      <c r="Q367" s="33"/>
      <c r="R367" s="33"/>
      <c r="S367" s="33"/>
      <c r="T36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67" s="57">
        <f>ABS(Tableau13452729313335374951944325[[#This Row],[MONTANT DEPASSEMENT]]*0.005)</f>
        <v>0</v>
      </c>
      <c r="V367" s="33"/>
      <c r="W367" s="33"/>
      <c r="X367" s="33"/>
      <c r="Y367" s="33"/>
    </row>
    <row r="368" spans="1:25" x14ac:dyDescent="0.25">
      <c r="A368" s="33"/>
      <c r="B368" s="34">
        <v>807</v>
      </c>
      <c r="C368" s="34" t="s">
        <v>442</v>
      </c>
      <c r="D368" s="53" t="s">
        <v>163</v>
      </c>
      <c r="E368" s="53" t="s">
        <v>164</v>
      </c>
      <c r="F368" s="53" t="s">
        <v>77</v>
      </c>
      <c r="G368" s="34" t="s">
        <v>629</v>
      </c>
      <c r="H368" s="34" t="s">
        <v>31</v>
      </c>
      <c r="I368" s="33"/>
      <c r="J368" s="42"/>
      <c r="K368" s="43"/>
      <c r="L368" s="44"/>
      <c r="M36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68" s="38">
        <f>Tableau13452729313335374951944325[[#This Row],[MONTANT OPERATION]]+Tableau13452729313335374951944325[[#This Row],[POS  FUSIONNEE CPTE AVANT OP]]</f>
        <v>0</v>
      </c>
      <c r="O36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68" s="39" t="e">
        <f>Tableau13452729313335374951944325[[#This Row],[DEPASSEMENT TOTAL SUR AUTO
]]/-Tableau13452729313335374951944325[[#This Row],[MONTANT AUTO]]</f>
        <v>#VALUE!</v>
      </c>
      <c r="Q368" s="33"/>
      <c r="R368" s="33"/>
      <c r="S368" s="33"/>
      <c r="T36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68" s="57">
        <f>ABS(Tableau13452729313335374951944325[[#This Row],[MONTANT DEPASSEMENT]]*0.005)</f>
        <v>0</v>
      </c>
      <c r="V368" s="33"/>
      <c r="W368" s="33"/>
      <c r="X368" s="33"/>
      <c r="Y368" s="33"/>
    </row>
    <row r="369" spans="1:25" x14ac:dyDescent="0.25">
      <c r="A369" s="33"/>
      <c r="B369" s="34">
        <v>807</v>
      </c>
      <c r="C369" s="34" t="s">
        <v>442</v>
      </c>
      <c r="D369" s="53" t="s">
        <v>35</v>
      </c>
      <c r="E369" s="53" t="s">
        <v>36</v>
      </c>
      <c r="F369" s="53" t="s">
        <v>37</v>
      </c>
      <c r="G369" s="34" t="s">
        <v>608</v>
      </c>
      <c r="H369" s="34" t="s">
        <v>31</v>
      </c>
      <c r="I369" s="33"/>
      <c r="J369" s="42"/>
      <c r="K369" s="43"/>
      <c r="L369" s="44"/>
      <c r="M36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69" s="38">
        <f>Tableau13452729313335374951944325[[#This Row],[MONTANT OPERATION]]+Tableau13452729313335374951944325[[#This Row],[POS  FUSIONNEE CPTE AVANT OP]]</f>
        <v>0</v>
      </c>
      <c r="O36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69" s="39" t="e">
        <f>Tableau13452729313335374951944325[[#This Row],[DEPASSEMENT TOTAL SUR AUTO
]]/-Tableau13452729313335374951944325[[#This Row],[MONTANT AUTO]]</f>
        <v>#VALUE!</v>
      </c>
      <c r="Q369" s="33"/>
      <c r="R369" s="33"/>
      <c r="S369" s="33"/>
      <c r="T36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69" s="57">
        <f>ABS(Tableau13452729313335374951944325[[#This Row],[MONTANT DEPASSEMENT]]*0.005)</f>
        <v>0</v>
      </c>
      <c r="V369" s="33"/>
      <c r="W369" s="33"/>
      <c r="X369" s="33"/>
      <c r="Y369" s="33"/>
    </row>
    <row r="370" spans="1:25" x14ac:dyDescent="0.25">
      <c r="A370" s="33"/>
      <c r="B370" s="34">
        <v>807</v>
      </c>
      <c r="C370" s="34" t="s">
        <v>442</v>
      </c>
      <c r="D370" s="53" t="s">
        <v>176</v>
      </c>
      <c r="E370" s="53" t="s">
        <v>417</v>
      </c>
      <c r="F370" s="53" t="s">
        <v>266</v>
      </c>
      <c r="G370" s="34" t="s">
        <v>609</v>
      </c>
      <c r="H370" s="34" t="s">
        <v>93</v>
      </c>
      <c r="I370" s="33"/>
      <c r="J370" s="42"/>
      <c r="K370" s="43"/>
      <c r="L370" s="44"/>
      <c r="M37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70" s="38">
        <f>Tableau13452729313335374951944325[[#This Row],[MONTANT OPERATION]]+Tableau13452729313335374951944325[[#This Row],[POS  FUSIONNEE CPTE AVANT OP]]</f>
        <v>0</v>
      </c>
      <c r="O37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70" s="39" t="e">
        <f>Tableau13452729313335374951944325[[#This Row],[DEPASSEMENT TOTAL SUR AUTO
]]/-Tableau13452729313335374951944325[[#This Row],[MONTANT AUTO]]</f>
        <v>#VALUE!</v>
      </c>
      <c r="Q370" s="33"/>
      <c r="R370" s="33"/>
      <c r="S370" s="33"/>
      <c r="T37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70" s="57">
        <f>ABS(Tableau13452729313335374951944325[[#This Row],[MONTANT DEPASSEMENT]]*0.005)</f>
        <v>0</v>
      </c>
      <c r="V370" s="33"/>
      <c r="W370" s="33"/>
      <c r="X370" s="33"/>
      <c r="Y370" s="33"/>
    </row>
    <row r="371" spans="1:25" x14ac:dyDescent="0.25">
      <c r="A371" s="33"/>
      <c r="B371" s="34">
        <v>807</v>
      </c>
      <c r="C371" s="34" t="s">
        <v>442</v>
      </c>
      <c r="D371" s="53" t="s">
        <v>190</v>
      </c>
      <c r="E371" s="53" t="s">
        <v>212</v>
      </c>
      <c r="F371" s="53" t="s">
        <v>92</v>
      </c>
      <c r="G371" s="34" t="s">
        <v>443</v>
      </c>
      <c r="H371" s="34" t="s">
        <v>31</v>
      </c>
      <c r="I371" s="33"/>
      <c r="J371" s="42"/>
      <c r="K371" s="43"/>
      <c r="L371" s="44"/>
      <c r="M37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71" s="38">
        <f>Tableau13452729313335374951944325[[#This Row],[MONTANT OPERATION]]+Tableau13452729313335374951944325[[#This Row],[POS  FUSIONNEE CPTE AVANT OP]]</f>
        <v>0</v>
      </c>
      <c r="O37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71" s="39" t="e">
        <f>Tableau13452729313335374951944325[[#This Row],[DEPASSEMENT TOTAL SUR AUTO
]]/-Tableau13452729313335374951944325[[#This Row],[MONTANT AUTO]]</f>
        <v>#VALUE!</v>
      </c>
      <c r="Q371" s="33"/>
      <c r="R371" s="33"/>
      <c r="S371" s="33"/>
      <c r="T37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71" s="57">
        <f>ABS(Tableau13452729313335374951944325[[#This Row],[MONTANT DEPASSEMENT]]*0.005)</f>
        <v>0</v>
      </c>
      <c r="V371" s="33"/>
      <c r="W371" s="33"/>
      <c r="X371" s="33"/>
      <c r="Y371" s="33"/>
    </row>
    <row r="372" spans="1:25" x14ac:dyDescent="0.25">
      <c r="A372" s="33"/>
      <c r="B372" s="34">
        <v>807</v>
      </c>
      <c r="C372" s="34" t="s">
        <v>442</v>
      </c>
      <c r="D372" s="53" t="s">
        <v>413</v>
      </c>
      <c r="E372" s="53" t="s">
        <v>414</v>
      </c>
      <c r="F372" s="53" t="s">
        <v>40</v>
      </c>
      <c r="G372" s="34" t="s">
        <v>630</v>
      </c>
      <c r="H372" s="34" t="s">
        <v>31</v>
      </c>
      <c r="I372" s="33"/>
      <c r="J372" s="42"/>
      <c r="K372" s="43"/>
      <c r="L372" s="44"/>
      <c r="M37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72" s="38">
        <f>Tableau13452729313335374951944325[[#This Row],[MONTANT OPERATION]]+Tableau13452729313335374951944325[[#This Row],[POS  FUSIONNEE CPTE AVANT OP]]</f>
        <v>0</v>
      </c>
      <c r="O37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72" s="39" t="e">
        <f>Tableau13452729313335374951944325[[#This Row],[DEPASSEMENT TOTAL SUR AUTO
]]/-Tableau13452729313335374951944325[[#This Row],[MONTANT AUTO]]</f>
        <v>#VALUE!</v>
      </c>
      <c r="Q372" s="33"/>
      <c r="R372" s="33"/>
      <c r="S372" s="33"/>
      <c r="T37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72" s="57">
        <f>ABS(Tableau13452729313335374951944325[[#This Row],[MONTANT DEPASSEMENT]]*0.005)</f>
        <v>0</v>
      </c>
      <c r="V372" s="33"/>
      <c r="W372" s="33"/>
      <c r="X372" s="33"/>
      <c r="Y372" s="33"/>
    </row>
    <row r="373" spans="1:25" x14ac:dyDescent="0.25">
      <c r="A373" s="33"/>
      <c r="B373" s="34">
        <v>521</v>
      </c>
      <c r="C373" s="34" t="s">
        <v>611</v>
      </c>
      <c r="D373" s="53" t="s">
        <v>410</v>
      </c>
      <c r="E373" s="53" t="s">
        <v>411</v>
      </c>
      <c r="F373" s="53" t="s">
        <v>202</v>
      </c>
      <c r="G373" s="34" t="s">
        <v>631</v>
      </c>
      <c r="H373" s="34" t="s">
        <v>60</v>
      </c>
      <c r="I373" s="33"/>
      <c r="J373" s="42"/>
      <c r="K373" s="43"/>
      <c r="L373" s="44"/>
      <c r="M37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73" s="38">
        <f>Tableau13452729313335374951944325[[#This Row],[MONTANT OPERATION]]+Tableau13452729313335374951944325[[#This Row],[POS  FUSIONNEE CPTE AVANT OP]]</f>
        <v>0</v>
      </c>
      <c r="O37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73" s="39" t="e">
        <f>Tableau13452729313335374951944325[[#This Row],[DEPASSEMENT TOTAL SUR AUTO
]]/-Tableau13452729313335374951944325[[#This Row],[MONTANT AUTO]]</f>
        <v>#VALUE!</v>
      </c>
      <c r="Q373" s="33"/>
      <c r="R373" s="33"/>
      <c r="S373" s="33"/>
      <c r="T37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73" s="57">
        <f>ABS(Tableau13452729313335374951944325[[#This Row],[MONTANT DEPASSEMENT]]*0.005)</f>
        <v>0</v>
      </c>
      <c r="V373" s="33"/>
      <c r="W373" s="33"/>
      <c r="X373" s="33"/>
      <c r="Y373" s="33"/>
    </row>
    <row r="374" spans="1:25" x14ac:dyDescent="0.25">
      <c r="A374" s="33"/>
      <c r="B374" s="34">
        <v>815</v>
      </c>
      <c r="C374" s="34" t="s">
        <v>632</v>
      </c>
      <c r="D374" s="53" t="s">
        <v>177</v>
      </c>
      <c r="E374" s="53" t="s">
        <v>383</v>
      </c>
      <c r="F374" s="53" t="s">
        <v>198</v>
      </c>
      <c r="G374" s="34" t="s">
        <v>633</v>
      </c>
      <c r="H374" s="34" t="s">
        <v>47</v>
      </c>
      <c r="I374" s="33"/>
      <c r="J374" s="42"/>
      <c r="K374" s="43"/>
      <c r="L374" s="44"/>
      <c r="M37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74" s="38">
        <f>Tableau13452729313335374951944325[[#This Row],[MONTANT OPERATION]]+Tableau13452729313335374951944325[[#This Row],[POS  FUSIONNEE CPTE AVANT OP]]</f>
        <v>0</v>
      </c>
      <c r="O37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74" s="39" t="e">
        <f>Tableau13452729313335374951944325[[#This Row],[DEPASSEMENT TOTAL SUR AUTO
]]/-Tableau13452729313335374951944325[[#This Row],[MONTANT AUTO]]</f>
        <v>#VALUE!</v>
      </c>
      <c r="Q374" s="33"/>
      <c r="R374" s="33"/>
      <c r="S374" s="33"/>
      <c r="T37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74" s="57">
        <f>ABS(Tableau13452729313335374951944325[[#This Row],[MONTANT DEPASSEMENT]]*0.005)</f>
        <v>0</v>
      </c>
      <c r="V374" s="33"/>
      <c r="W374" s="33"/>
      <c r="X374" s="33"/>
      <c r="Y374" s="33"/>
    </row>
    <row r="375" spans="1:25" x14ac:dyDescent="0.25">
      <c r="A375" s="33"/>
      <c r="B375" s="34">
        <v>815</v>
      </c>
      <c r="C375" s="34" t="s">
        <v>632</v>
      </c>
      <c r="D375" s="53" t="s">
        <v>177</v>
      </c>
      <c r="E375" s="53" t="s">
        <v>418</v>
      </c>
      <c r="F375" s="53" t="s">
        <v>259</v>
      </c>
      <c r="G375" s="34" t="s">
        <v>633</v>
      </c>
      <c r="H375" s="34" t="s">
        <v>47</v>
      </c>
      <c r="I375" s="33"/>
      <c r="J375" s="42"/>
      <c r="K375" s="43"/>
      <c r="L375" s="44"/>
      <c r="M37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75" s="38">
        <f>Tableau13452729313335374951944325[[#This Row],[MONTANT OPERATION]]+Tableau13452729313335374951944325[[#This Row],[POS  FUSIONNEE CPTE AVANT OP]]</f>
        <v>0</v>
      </c>
      <c r="O37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75" s="39" t="e">
        <f>Tableau13452729313335374951944325[[#This Row],[DEPASSEMENT TOTAL SUR AUTO
]]/-Tableau13452729313335374951944325[[#This Row],[MONTANT AUTO]]</f>
        <v>#VALUE!</v>
      </c>
      <c r="Q375" s="33"/>
      <c r="R375" s="33"/>
      <c r="S375" s="33"/>
      <c r="T37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75" s="57">
        <f>ABS(Tableau13452729313335374951944325[[#This Row],[MONTANT DEPASSEMENT]]*0.005)</f>
        <v>0</v>
      </c>
      <c r="V375" s="33"/>
      <c r="W375" s="33"/>
      <c r="X375" s="33"/>
      <c r="Y375" s="33"/>
    </row>
    <row r="376" spans="1:25" x14ac:dyDescent="0.25">
      <c r="A376" s="33"/>
      <c r="B376" s="34">
        <v>815</v>
      </c>
      <c r="C376" s="34" t="s">
        <v>632</v>
      </c>
      <c r="D376" s="53" t="s">
        <v>636</v>
      </c>
      <c r="E376" s="53" t="s">
        <v>637</v>
      </c>
      <c r="F376" s="53" t="s">
        <v>196</v>
      </c>
      <c r="G376" s="34" t="s">
        <v>638</v>
      </c>
      <c r="H376" s="34" t="s">
        <v>47</v>
      </c>
      <c r="I376" s="33"/>
      <c r="J376" s="42"/>
      <c r="K376" s="43"/>
      <c r="L376" s="44"/>
      <c r="M37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76" s="38">
        <f>Tableau13452729313335374951944325[[#This Row],[MONTANT OPERATION]]+Tableau13452729313335374951944325[[#This Row],[POS  FUSIONNEE CPTE AVANT OP]]</f>
        <v>0</v>
      </c>
      <c r="O37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76" s="39" t="e">
        <f>Tableau13452729313335374951944325[[#This Row],[DEPASSEMENT TOTAL SUR AUTO
]]/-Tableau13452729313335374951944325[[#This Row],[MONTANT AUTO]]</f>
        <v>#VALUE!</v>
      </c>
      <c r="Q376" s="33"/>
      <c r="R376" s="33"/>
      <c r="S376" s="33"/>
      <c r="T37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76" s="57">
        <f>ABS(Tableau13452729313335374951944325[[#This Row],[MONTANT DEPASSEMENT]]*0.005)</f>
        <v>0</v>
      </c>
      <c r="V376" s="33"/>
      <c r="W376" s="33"/>
      <c r="X376" s="33"/>
      <c r="Y376" s="33"/>
    </row>
    <row r="377" spans="1:25" x14ac:dyDescent="0.25">
      <c r="A377" s="33"/>
      <c r="B377" s="34">
        <v>556</v>
      </c>
      <c r="C377" s="34" t="s">
        <v>639</v>
      </c>
      <c r="D377" s="53" t="s">
        <v>415</v>
      </c>
      <c r="E377" s="53" t="s">
        <v>416</v>
      </c>
      <c r="F377" s="53" t="s">
        <v>203</v>
      </c>
      <c r="G377" s="34" t="s">
        <v>640</v>
      </c>
      <c r="H377" s="34" t="s">
        <v>58</v>
      </c>
      <c r="I377" s="33"/>
      <c r="J377" s="42"/>
      <c r="K377" s="43"/>
      <c r="L377" s="44"/>
      <c r="M37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77" s="38">
        <f>Tableau13452729313335374951944325[[#This Row],[MONTANT OPERATION]]+Tableau13452729313335374951944325[[#This Row],[POS  FUSIONNEE CPTE AVANT OP]]</f>
        <v>0</v>
      </c>
      <c r="O37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77" s="39" t="e">
        <f>Tableau13452729313335374951944325[[#This Row],[DEPASSEMENT TOTAL SUR AUTO
]]/-Tableau13452729313335374951944325[[#This Row],[MONTANT AUTO]]</f>
        <v>#VALUE!</v>
      </c>
      <c r="Q377" s="33"/>
      <c r="R377" s="33"/>
      <c r="S377" s="33"/>
      <c r="T37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77" s="57">
        <f>ABS(Tableau13452729313335374951944325[[#This Row],[MONTANT DEPASSEMENT]]*0.005)</f>
        <v>0</v>
      </c>
      <c r="V377" s="33"/>
      <c r="W377" s="33"/>
      <c r="X377" s="33"/>
      <c r="Y377" s="33"/>
    </row>
    <row r="378" spans="1:25" x14ac:dyDescent="0.25">
      <c r="A378" s="33"/>
      <c r="B378" s="34">
        <v>701</v>
      </c>
      <c r="C378" s="34" t="s">
        <v>652</v>
      </c>
      <c r="D378" s="53" t="s">
        <v>224</v>
      </c>
      <c r="E378" s="53" t="s">
        <v>225</v>
      </c>
      <c r="F378" s="53" t="s">
        <v>220</v>
      </c>
      <c r="G378" s="34" t="s">
        <v>653</v>
      </c>
      <c r="H378" s="34" t="s">
        <v>47</v>
      </c>
      <c r="I378" s="33"/>
      <c r="J378" s="42"/>
      <c r="K378" s="43"/>
      <c r="L378" s="44"/>
      <c r="M37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78" s="38">
        <f>Tableau13452729313335374951944325[[#This Row],[MONTANT OPERATION]]+Tableau13452729313335374951944325[[#This Row],[POS  FUSIONNEE CPTE AVANT OP]]</f>
        <v>0</v>
      </c>
      <c r="O37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78" s="39" t="e">
        <f>Tableau13452729313335374951944325[[#This Row],[DEPASSEMENT TOTAL SUR AUTO
]]/-Tableau13452729313335374951944325[[#This Row],[MONTANT AUTO]]</f>
        <v>#VALUE!</v>
      </c>
      <c r="Q378" s="33"/>
      <c r="R378" s="33"/>
      <c r="S378" s="33"/>
      <c r="T37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78" s="57">
        <f>ABS(Tableau13452729313335374951944325[[#This Row],[MONTANT DEPASSEMENT]]*0.005)</f>
        <v>0</v>
      </c>
      <c r="V378" s="33"/>
      <c r="W378" s="33"/>
      <c r="X378" s="33"/>
      <c r="Y378" s="33"/>
    </row>
    <row r="379" spans="1:25" x14ac:dyDescent="0.25">
      <c r="A379" s="33"/>
      <c r="B379" s="34">
        <v>701</v>
      </c>
      <c r="C379" s="34" t="s">
        <v>652</v>
      </c>
      <c r="D379" s="53" t="s">
        <v>449</v>
      </c>
      <c r="E379" s="53" t="s">
        <v>450</v>
      </c>
      <c r="F379" s="53" t="s">
        <v>210</v>
      </c>
      <c r="G379" s="34" t="s">
        <v>451</v>
      </c>
      <c r="H379" s="34" t="s">
        <v>47</v>
      </c>
      <c r="I379" s="33"/>
      <c r="J379" s="42"/>
      <c r="K379" s="43"/>
      <c r="L379" s="44"/>
      <c r="M37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79" s="38">
        <f>Tableau13452729313335374951944325[[#This Row],[MONTANT OPERATION]]+Tableau13452729313335374951944325[[#This Row],[POS  FUSIONNEE CPTE AVANT OP]]</f>
        <v>0</v>
      </c>
      <c r="O37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79" s="39" t="e">
        <f>Tableau13452729313335374951944325[[#This Row],[DEPASSEMENT TOTAL SUR AUTO
]]/-Tableau13452729313335374951944325[[#This Row],[MONTANT AUTO]]</f>
        <v>#VALUE!</v>
      </c>
      <c r="Q379" s="33"/>
      <c r="R379" s="33"/>
      <c r="S379" s="33"/>
      <c r="T37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79" s="57">
        <f>ABS(Tableau13452729313335374951944325[[#This Row],[MONTANT DEPASSEMENT]]*0.005)</f>
        <v>0</v>
      </c>
      <c r="V379" s="33"/>
      <c r="W379" s="33"/>
      <c r="X379" s="33"/>
      <c r="Y379" s="33"/>
    </row>
    <row r="380" spans="1:25" x14ac:dyDescent="0.25">
      <c r="A380" s="33"/>
      <c r="B380" s="34">
        <v>703</v>
      </c>
      <c r="C380" s="34" t="s">
        <v>453</v>
      </c>
      <c r="D380" s="53" t="s">
        <v>234</v>
      </c>
      <c r="E380" s="53" t="s">
        <v>235</v>
      </c>
      <c r="F380" s="53" t="s">
        <v>202</v>
      </c>
      <c r="G380" s="34" t="s">
        <v>461</v>
      </c>
      <c r="H380" s="34" t="s">
        <v>41</v>
      </c>
      <c r="I380" s="33"/>
      <c r="J380" s="42"/>
      <c r="K380" s="43"/>
      <c r="L380" s="44"/>
      <c r="M38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80" s="38">
        <f>Tableau13452729313335374951944325[[#This Row],[MONTANT OPERATION]]+Tableau13452729313335374951944325[[#This Row],[POS  FUSIONNEE CPTE AVANT OP]]</f>
        <v>0</v>
      </c>
      <c r="O38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80" s="39" t="e">
        <f>Tableau13452729313335374951944325[[#This Row],[DEPASSEMENT TOTAL SUR AUTO
]]/-Tableau13452729313335374951944325[[#This Row],[MONTANT AUTO]]</f>
        <v>#VALUE!</v>
      </c>
      <c r="Q380" s="33"/>
      <c r="R380" s="33"/>
      <c r="S380" s="33"/>
      <c r="T38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80" s="57">
        <f>ABS(Tableau13452729313335374951944325[[#This Row],[MONTANT DEPASSEMENT]]*0.005)</f>
        <v>0</v>
      </c>
      <c r="V380" s="33"/>
      <c r="W380" s="33"/>
      <c r="X380" s="33"/>
      <c r="Y380" s="33"/>
    </row>
    <row r="381" spans="1:25" x14ac:dyDescent="0.25">
      <c r="A381" s="33"/>
      <c r="B381" s="34">
        <v>703</v>
      </c>
      <c r="C381" s="34" t="s">
        <v>453</v>
      </c>
      <c r="D381" s="53" t="s">
        <v>339</v>
      </c>
      <c r="E381" s="53" t="s">
        <v>340</v>
      </c>
      <c r="F381" s="53" t="s">
        <v>49</v>
      </c>
      <c r="G381" s="34" t="s">
        <v>467</v>
      </c>
      <c r="H381" s="34" t="s">
        <v>41</v>
      </c>
      <c r="I381" s="33"/>
      <c r="J381" s="42"/>
      <c r="K381" s="43"/>
      <c r="L381" s="44"/>
      <c r="M38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81" s="38">
        <f>Tableau13452729313335374951944325[[#This Row],[MONTANT OPERATION]]+Tableau13452729313335374951944325[[#This Row],[POS  FUSIONNEE CPTE AVANT OP]]</f>
        <v>0</v>
      </c>
      <c r="O38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81" s="39" t="e">
        <f>Tableau13452729313335374951944325[[#This Row],[DEPASSEMENT TOTAL SUR AUTO
]]/-Tableau13452729313335374951944325[[#This Row],[MONTANT AUTO]]</f>
        <v>#VALUE!</v>
      </c>
      <c r="Q381" s="33"/>
      <c r="R381" s="33"/>
      <c r="S381" s="33"/>
      <c r="T38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81" s="57">
        <f>ABS(Tableau13452729313335374951944325[[#This Row],[MONTANT DEPASSEMENT]]*0.005)</f>
        <v>0</v>
      </c>
      <c r="V381" s="33"/>
      <c r="W381" s="33"/>
      <c r="X381" s="33"/>
      <c r="Y381" s="33"/>
    </row>
    <row r="382" spans="1:25" x14ac:dyDescent="0.25">
      <c r="A382" s="33"/>
      <c r="B382" s="34">
        <v>705</v>
      </c>
      <c r="C382" s="34" t="s">
        <v>429</v>
      </c>
      <c r="D382" s="53" t="s">
        <v>475</v>
      </c>
      <c r="E382" s="53" t="s">
        <v>476</v>
      </c>
      <c r="F382" s="53" t="s">
        <v>349</v>
      </c>
      <c r="G382" s="34" t="s">
        <v>477</v>
      </c>
      <c r="H382" s="34" t="s">
        <v>31</v>
      </c>
      <c r="I382" s="33"/>
      <c r="J382" s="42"/>
      <c r="K382" s="43"/>
      <c r="L382" s="44"/>
      <c r="M38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82" s="38">
        <f>Tableau13452729313335374951944325[[#This Row],[MONTANT OPERATION]]+Tableau13452729313335374951944325[[#This Row],[POS  FUSIONNEE CPTE AVANT OP]]</f>
        <v>0</v>
      </c>
      <c r="O38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82" s="39" t="e">
        <f>Tableau13452729313335374951944325[[#This Row],[DEPASSEMENT TOTAL SUR AUTO
]]/-Tableau13452729313335374951944325[[#This Row],[MONTANT AUTO]]</f>
        <v>#VALUE!</v>
      </c>
      <c r="Q382" s="33"/>
      <c r="R382" s="33"/>
      <c r="S382" s="33"/>
      <c r="T38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82" s="57">
        <f>ABS(Tableau13452729313335374951944325[[#This Row],[MONTANT DEPASSEMENT]]*0.005)</f>
        <v>0</v>
      </c>
      <c r="V382" s="33"/>
      <c r="W382" s="33"/>
      <c r="X382" s="33"/>
      <c r="Y382" s="33"/>
    </row>
    <row r="383" spans="1:25" x14ac:dyDescent="0.25">
      <c r="A383" s="33"/>
      <c r="B383" s="34">
        <v>705</v>
      </c>
      <c r="C383" s="34" t="s">
        <v>429</v>
      </c>
      <c r="D383" s="53" t="s">
        <v>380</v>
      </c>
      <c r="E383" s="53" t="s">
        <v>478</v>
      </c>
      <c r="F383" s="53" t="s">
        <v>349</v>
      </c>
      <c r="G383" s="34" t="s">
        <v>479</v>
      </c>
      <c r="H383" s="34" t="s">
        <v>94</v>
      </c>
      <c r="I383" s="33"/>
      <c r="J383" s="42"/>
      <c r="K383" s="43"/>
      <c r="L383" s="44"/>
      <c r="M38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83" s="38">
        <f>Tableau13452729313335374951944325[[#This Row],[MONTANT OPERATION]]+Tableau13452729313335374951944325[[#This Row],[POS  FUSIONNEE CPTE AVANT OP]]</f>
        <v>0</v>
      </c>
      <c r="O38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83" s="39" t="e">
        <f>Tableau13452729313335374951944325[[#This Row],[DEPASSEMENT TOTAL SUR AUTO
]]/-Tableau13452729313335374951944325[[#This Row],[MONTANT AUTO]]</f>
        <v>#VALUE!</v>
      </c>
      <c r="Q383" s="33"/>
      <c r="R383" s="33"/>
      <c r="S383" s="33"/>
      <c r="T38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83" s="57">
        <f>ABS(Tableau13452729313335374951944325[[#This Row],[MONTANT DEPASSEMENT]]*0.005)</f>
        <v>0</v>
      </c>
      <c r="V383" s="33"/>
      <c r="W383" s="33"/>
      <c r="X383" s="33"/>
      <c r="Y383" s="33"/>
    </row>
    <row r="384" spans="1:25" x14ac:dyDescent="0.25">
      <c r="A384" s="33"/>
      <c r="B384" s="34">
        <v>705</v>
      </c>
      <c r="C384" s="34" t="s">
        <v>429</v>
      </c>
      <c r="D384" s="53" t="s">
        <v>103</v>
      </c>
      <c r="E384" s="53" t="s">
        <v>104</v>
      </c>
      <c r="F384" s="53" t="s">
        <v>105</v>
      </c>
      <c r="G384" s="34" t="s">
        <v>480</v>
      </c>
      <c r="H384" s="34" t="s">
        <v>94</v>
      </c>
      <c r="I384" s="33"/>
      <c r="J384" s="42"/>
      <c r="K384" s="43"/>
      <c r="L384" s="44"/>
      <c r="M38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84" s="38">
        <f>Tableau13452729313335374951944325[[#This Row],[MONTANT OPERATION]]+Tableau13452729313335374951944325[[#This Row],[POS  FUSIONNEE CPTE AVANT OP]]</f>
        <v>0</v>
      </c>
      <c r="O38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84" s="39" t="e">
        <f>Tableau13452729313335374951944325[[#This Row],[DEPASSEMENT TOTAL SUR AUTO
]]/-Tableau13452729313335374951944325[[#This Row],[MONTANT AUTO]]</f>
        <v>#VALUE!</v>
      </c>
      <c r="Q384" s="33"/>
      <c r="R384" s="33"/>
      <c r="S384" s="33"/>
      <c r="T38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84" s="57">
        <f>ABS(Tableau13452729313335374951944325[[#This Row],[MONTANT DEPASSEMENT]]*0.005)</f>
        <v>0</v>
      </c>
      <c r="V384" s="33"/>
      <c r="W384" s="33"/>
      <c r="X384" s="33"/>
      <c r="Y384" s="33"/>
    </row>
    <row r="385" spans="1:25" x14ac:dyDescent="0.25">
      <c r="A385" s="33"/>
      <c r="B385" s="34">
        <v>705</v>
      </c>
      <c r="C385" s="34" t="s">
        <v>429</v>
      </c>
      <c r="D385" s="53" t="s">
        <v>90</v>
      </c>
      <c r="E385" s="53" t="s">
        <v>91</v>
      </c>
      <c r="F385" s="53" t="s">
        <v>92</v>
      </c>
      <c r="G385" s="34" t="s">
        <v>481</v>
      </c>
      <c r="H385" s="34" t="s">
        <v>93</v>
      </c>
      <c r="I385" s="33"/>
      <c r="J385" s="42"/>
      <c r="K385" s="43"/>
      <c r="L385" s="44"/>
      <c r="M38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85" s="38">
        <f>Tableau13452729313335374951944325[[#This Row],[MONTANT OPERATION]]+Tableau13452729313335374951944325[[#This Row],[POS  FUSIONNEE CPTE AVANT OP]]</f>
        <v>0</v>
      </c>
      <c r="O38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85" s="39" t="e">
        <f>Tableau13452729313335374951944325[[#This Row],[DEPASSEMENT TOTAL SUR AUTO
]]/-Tableau13452729313335374951944325[[#This Row],[MONTANT AUTO]]</f>
        <v>#VALUE!</v>
      </c>
      <c r="Q385" s="33"/>
      <c r="R385" s="33"/>
      <c r="S385" s="33"/>
      <c r="T38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85" s="57">
        <f>ABS(Tableau13452729313335374951944325[[#This Row],[MONTANT DEPASSEMENT]]*0.005)</f>
        <v>0</v>
      </c>
      <c r="V385" s="33"/>
      <c r="W385" s="33"/>
      <c r="X385" s="33"/>
      <c r="Y385" s="33"/>
    </row>
    <row r="386" spans="1:25" x14ac:dyDescent="0.25">
      <c r="A386" s="33"/>
      <c r="B386" s="34">
        <v>705</v>
      </c>
      <c r="C386" s="34" t="s">
        <v>429</v>
      </c>
      <c r="D386" s="53" t="s">
        <v>217</v>
      </c>
      <c r="E386" s="53" t="s">
        <v>218</v>
      </c>
      <c r="F386" s="53" t="s">
        <v>219</v>
      </c>
      <c r="G386" s="34" t="s">
        <v>430</v>
      </c>
      <c r="H386" s="34" t="s">
        <v>47</v>
      </c>
      <c r="I386" s="33"/>
      <c r="J386" s="42"/>
      <c r="K386" s="43"/>
      <c r="L386" s="44"/>
      <c r="M38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86" s="38">
        <f>Tableau13452729313335374951944325[[#This Row],[MONTANT OPERATION]]+Tableau13452729313335374951944325[[#This Row],[POS  FUSIONNEE CPTE AVANT OP]]</f>
        <v>0</v>
      </c>
      <c r="O38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86" s="39" t="e">
        <f>Tableau13452729313335374951944325[[#This Row],[DEPASSEMENT TOTAL SUR AUTO
]]/-Tableau13452729313335374951944325[[#This Row],[MONTANT AUTO]]</f>
        <v>#VALUE!</v>
      </c>
      <c r="Q386" s="33"/>
      <c r="R386" s="33"/>
      <c r="S386" s="33"/>
      <c r="T38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86" s="57">
        <f>ABS(Tableau13452729313335374951944325[[#This Row],[MONTANT DEPASSEMENT]]*0.005)</f>
        <v>0</v>
      </c>
      <c r="V386" s="33"/>
      <c r="W386" s="33"/>
      <c r="X386" s="33"/>
      <c r="Y386" s="33"/>
    </row>
    <row r="387" spans="1:25" x14ac:dyDescent="0.25">
      <c r="A387" s="33"/>
      <c r="B387" s="34">
        <v>705</v>
      </c>
      <c r="C387" s="34" t="s">
        <v>429</v>
      </c>
      <c r="D387" s="53" t="s">
        <v>38</v>
      </c>
      <c r="E387" s="53" t="s">
        <v>39</v>
      </c>
      <c r="F387" s="53" t="s">
        <v>40</v>
      </c>
      <c r="G387" s="34" t="s">
        <v>489</v>
      </c>
      <c r="H387" s="34" t="s">
        <v>41</v>
      </c>
      <c r="I387" s="33"/>
      <c r="J387" s="42"/>
      <c r="K387" s="43"/>
      <c r="L387" s="44"/>
      <c r="M38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87" s="38">
        <f>Tableau13452729313335374951944325[[#This Row],[MONTANT OPERATION]]+Tableau13452729313335374951944325[[#This Row],[POS  FUSIONNEE CPTE AVANT OP]]</f>
        <v>0</v>
      </c>
      <c r="O38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87" s="39" t="e">
        <f>Tableau13452729313335374951944325[[#This Row],[DEPASSEMENT TOTAL SUR AUTO
]]/-Tableau13452729313335374951944325[[#This Row],[MONTANT AUTO]]</f>
        <v>#VALUE!</v>
      </c>
      <c r="Q387" s="33"/>
      <c r="R387" s="33"/>
      <c r="S387" s="33"/>
      <c r="T38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87" s="57">
        <f>ABS(Tableau13452729313335374951944325[[#This Row],[MONTANT DEPASSEMENT]]*0.005)</f>
        <v>0</v>
      </c>
      <c r="V387" s="33"/>
      <c r="W387" s="33"/>
      <c r="X387" s="33"/>
      <c r="Y387" s="33"/>
    </row>
    <row r="388" spans="1:25" x14ac:dyDescent="0.25">
      <c r="A388" s="33"/>
      <c r="B388" s="34">
        <v>711</v>
      </c>
      <c r="C388" s="34" t="s">
        <v>427</v>
      </c>
      <c r="D388" s="53" t="s">
        <v>84</v>
      </c>
      <c r="E388" s="53" t="s">
        <v>85</v>
      </c>
      <c r="F388" s="53" t="s">
        <v>86</v>
      </c>
      <c r="G388" s="34" t="s">
        <v>428</v>
      </c>
      <c r="H388" s="34" t="s">
        <v>31</v>
      </c>
      <c r="I388" s="33"/>
      <c r="J388" s="42"/>
      <c r="K388" s="43"/>
      <c r="L388" s="44"/>
      <c r="M38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88" s="38">
        <f>Tableau13452729313335374951944325[[#This Row],[MONTANT OPERATION]]+Tableau13452729313335374951944325[[#This Row],[POS  FUSIONNEE CPTE AVANT OP]]</f>
        <v>0</v>
      </c>
      <c r="O38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88" s="39" t="e">
        <f>Tableau13452729313335374951944325[[#This Row],[DEPASSEMENT TOTAL SUR AUTO
]]/-Tableau13452729313335374951944325[[#This Row],[MONTANT AUTO]]</f>
        <v>#VALUE!</v>
      </c>
      <c r="Q388" s="33"/>
      <c r="R388" s="33"/>
      <c r="S388" s="33"/>
      <c r="T38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88" s="57">
        <f>ABS(Tableau13452729313335374951944325[[#This Row],[MONTANT DEPASSEMENT]]*0.005)</f>
        <v>0</v>
      </c>
      <c r="V388" s="33"/>
      <c r="W388" s="33"/>
      <c r="X388" s="33"/>
      <c r="Y388" s="33"/>
    </row>
    <row r="389" spans="1:25" x14ac:dyDescent="0.25">
      <c r="A389" s="33"/>
      <c r="B389" s="34">
        <v>711</v>
      </c>
      <c r="C389" s="34" t="s">
        <v>427</v>
      </c>
      <c r="D389" s="53" t="s">
        <v>110</v>
      </c>
      <c r="E389" s="53" t="s">
        <v>111</v>
      </c>
      <c r="F389" s="53" t="s">
        <v>192</v>
      </c>
      <c r="G389" s="34" t="s">
        <v>506</v>
      </c>
      <c r="H389" s="34" t="s">
        <v>31</v>
      </c>
      <c r="I389" s="33"/>
      <c r="J389" s="42"/>
      <c r="K389" s="43"/>
      <c r="L389" s="44"/>
      <c r="M38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89" s="38">
        <f>Tableau13452729313335374951944325[[#This Row],[MONTANT OPERATION]]+Tableau13452729313335374951944325[[#This Row],[POS  FUSIONNEE CPTE AVANT OP]]</f>
        <v>0</v>
      </c>
      <c r="O38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89" s="39" t="e">
        <f>Tableau13452729313335374951944325[[#This Row],[DEPASSEMENT TOTAL SUR AUTO
]]/-Tableau13452729313335374951944325[[#This Row],[MONTANT AUTO]]</f>
        <v>#VALUE!</v>
      </c>
      <c r="Q389" s="33"/>
      <c r="R389" s="33"/>
      <c r="S389" s="33"/>
      <c r="T38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89" s="57">
        <f>ABS(Tableau13452729313335374951944325[[#This Row],[MONTANT DEPASSEMENT]]*0.005)</f>
        <v>0</v>
      </c>
      <c r="V389" s="33"/>
      <c r="W389" s="33"/>
      <c r="X389" s="33"/>
      <c r="Y389" s="33"/>
    </row>
    <row r="390" spans="1:25" x14ac:dyDescent="0.25">
      <c r="A390" s="33"/>
      <c r="B390" s="34">
        <v>711</v>
      </c>
      <c r="C390" s="34" t="s">
        <v>427</v>
      </c>
      <c r="D390" s="53" t="s">
        <v>165</v>
      </c>
      <c r="E390" s="53" t="s">
        <v>166</v>
      </c>
      <c r="F390" s="53" t="s">
        <v>279</v>
      </c>
      <c r="G390" s="34" t="s">
        <v>507</v>
      </c>
      <c r="H390" s="34" t="s">
        <v>31</v>
      </c>
      <c r="I390" s="33"/>
      <c r="J390" s="42"/>
      <c r="K390" s="43"/>
      <c r="L390" s="44"/>
      <c r="M39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90" s="38">
        <f>Tableau13452729313335374951944325[[#This Row],[MONTANT OPERATION]]+Tableau13452729313335374951944325[[#This Row],[POS  FUSIONNEE CPTE AVANT OP]]</f>
        <v>0</v>
      </c>
      <c r="O39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90" s="39" t="e">
        <f>Tableau13452729313335374951944325[[#This Row],[DEPASSEMENT TOTAL SUR AUTO
]]/-Tableau13452729313335374951944325[[#This Row],[MONTANT AUTO]]</f>
        <v>#VALUE!</v>
      </c>
      <c r="Q390" s="33"/>
      <c r="R390" s="33"/>
      <c r="S390" s="33"/>
      <c r="T39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90" s="57">
        <f>ABS(Tableau13452729313335374951944325[[#This Row],[MONTANT DEPASSEMENT]]*0.005)</f>
        <v>0</v>
      </c>
      <c r="V390" s="33"/>
      <c r="W390" s="33"/>
      <c r="X390" s="33"/>
      <c r="Y390" s="33"/>
    </row>
    <row r="391" spans="1:25" x14ac:dyDescent="0.25">
      <c r="A391" s="33"/>
      <c r="B391" s="34">
        <v>711</v>
      </c>
      <c r="C391" s="34" t="s">
        <v>427</v>
      </c>
      <c r="D391" s="53" t="s">
        <v>178</v>
      </c>
      <c r="E391" s="53" t="s">
        <v>179</v>
      </c>
      <c r="F391" s="53" t="s">
        <v>203</v>
      </c>
      <c r="G391" s="34" t="s">
        <v>508</v>
      </c>
      <c r="H391" s="34" t="s">
        <v>31</v>
      </c>
      <c r="I391" s="33"/>
      <c r="J391" s="42"/>
      <c r="K391" s="43"/>
      <c r="L391" s="44"/>
      <c r="M39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91" s="38">
        <f>Tableau13452729313335374951944325[[#This Row],[MONTANT OPERATION]]+Tableau13452729313335374951944325[[#This Row],[POS  FUSIONNEE CPTE AVANT OP]]</f>
        <v>0</v>
      </c>
      <c r="O39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91" s="39" t="e">
        <f>Tableau13452729313335374951944325[[#This Row],[DEPASSEMENT TOTAL SUR AUTO
]]/-Tableau13452729313335374951944325[[#This Row],[MONTANT AUTO]]</f>
        <v>#VALUE!</v>
      </c>
      <c r="Q391" s="33"/>
      <c r="R391" s="33"/>
      <c r="S391" s="33"/>
      <c r="T39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91" s="57">
        <f>ABS(Tableau13452729313335374951944325[[#This Row],[MONTANT DEPASSEMENT]]*0.005)</f>
        <v>0</v>
      </c>
      <c r="V391" s="33"/>
      <c r="W391" s="33"/>
      <c r="X391" s="33"/>
      <c r="Y391" s="33"/>
    </row>
    <row r="392" spans="1:25" x14ac:dyDescent="0.25">
      <c r="A392" s="33"/>
      <c r="B392" s="34">
        <v>712</v>
      </c>
      <c r="C392" s="34" t="s">
        <v>431</v>
      </c>
      <c r="D392" s="53" t="s">
        <v>213</v>
      </c>
      <c r="E392" s="53" t="s">
        <v>214</v>
      </c>
      <c r="F392" s="53" t="s">
        <v>89</v>
      </c>
      <c r="G392" s="34" t="s">
        <v>654</v>
      </c>
      <c r="H392" s="34" t="s">
        <v>31</v>
      </c>
      <c r="I392" s="33"/>
      <c r="J392" s="42"/>
      <c r="K392" s="43"/>
      <c r="L392" s="44"/>
      <c r="M39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92" s="38">
        <f>Tableau13452729313335374951944325[[#This Row],[MONTANT OPERATION]]+Tableau13452729313335374951944325[[#This Row],[POS  FUSIONNEE CPTE AVANT OP]]</f>
        <v>0</v>
      </c>
      <c r="O39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92" s="39" t="e">
        <f>Tableau13452729313335374951944325[[#This Row],[DEPASSEMENT TOTAL SUR AUTO
]]/-Tableau13452729313335374951944325[[#This Row],[MONTANT AUTO]]</f>
        <v>#VALUE!</v>
      </c>
      <c r="Q392" s="33"/>
      <c r="R392" s="33"/>
      <c r="S392" s="33"/>
      <c r="T39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92" s="57">
        <f>ABS(Tableau13452729313335374951944325[[#This Row],[MONTANT DEPASSEMENT]]*0.005)</f>
        <v>0</v>
      </c>
      <c r="V392" s="33"/>
      <c r="W392" s="33"/>
      <c r="X392" s="33"/>
      <c r="Y392" s="33"/>
    </row>
    <row r="393" spans="1:25" x14ac:dyDescent="0.25">
      <c r="A393" s="33"/>
      <c r="B393" s="34">
        <v>712</v>
      </c>
      <c r="C393" s="34" t="s">
        <v>431</v>
      </c>
      <c r="D393" s="53" t="s">
        <v>51</v>
      </c>
      <c r="E393" s="53" t="s">
        <v>52</v>
      </c>
      <c r="F393" s="53" t="s">
        <v>211</v>
      </c>
      <c r="G393" s="34" t="s">
        <v>527</v>
      </c>
      <c r="H393" s="34" t="s">
        <v>47</v>
      </c>
      <c r="I393" s="33"/>
      <c r="J393" s="42"/>
      <c r="K393" s="43"/>
      <c r="L393" s="44"/>
      <c r="M39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93" s="38">
        <f>Tableau13452729313335374951944325[[#This Row],[MONTANT OPERATION]]+Tableau13452729313335374951944325[[#This Row],[POS  FUSIONNEE CPTE AVANT OP]]</f>
        <v>0</v>
      </c>
      <c r="O39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93" s="39" t="e">
        <f>Tableau13452729313335374951944325[[#This Row],[DEPASSEMENT TOTAL SUR AUTO
]]/-Tableau13452729313335374951944325[[#This Row],[MONTANT AUTO]]</f>
        <v>#VALUE!</v>
      </c>
      <c r="Q393" s="33"/>
      <c r="R393" s="33"/>
      <c r="S393" s="33"/>
      <c r="T39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93" s="57">
        <f>ABS(Tableau13452729313335374951944325[[#This Row],[MONTANT DEPASSEMENT]]*0.005)</f>
        <v>0</v>
      </c>
      <c r="V393" s="33"/>
      <c r="W393" s="33"/>
      <c r="X393" s="33"/>
      <c r="Y393" s="33"/>
    </row>
    <row r="394" spans="1:25" x14ac:dyDescent="0.25">
      <c r="A394" s="33"/>
      <c r="B394" s="34">
        <v>712</v>
      </c>
      <c r="C394" s="34" t="s">
        <v>431</v>
      </c>
      <c r="D394" s="53" t="s">
        <v>221</v>
      </c>
      <c r="E394" s="53" t="s">
        <v>222</v>
      </c>
      <c r="F394" s="53" t="s">
        <v>223</v>
      </c>
      <c r="G394" s="34" t="s">
        <v>529</v>
      </c>
      <c r="H394" s="34" t="s">
        <v>60</v>
      </c>
      <c r="I394" s="33"/>
      <c r="J394" s="42"/>
      <c r="K394" s="43"/>
      <c r="L394" s="44"/>
      <c r="M39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94" s="38">
        <f>Tableau13452729313335374951944325[[#This Row],[MONTANT OPERATION]]+Tableau13452729313335374951944325[[#This Row],[POS  FUSIONNEE CPTE AVANT OP]]</f>
        <v>0</v>
      </c>
      <c r="O39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94" s="39" t="e">
        <f>Tableau13452729313335374951944325[[#This Row],[DEPASSEMENT TOTAL SUR AUTO
]]/-Tableau13452729313335374951944325[[#This Row],[MONTANT AUTO]]</f>
        <v>#VALUE!</v>
      </c>
      <c r="Q394" s="33"/>
      <c r="R394" s="33"/>
      <c r="S394" s="33"/>
      <c r="T39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94" s="57">
        <f>ABS(Tableau13452729313335374951944325[[#This Row],[MONTANT DEPASSEMENT]]*0.005)</f>
        <v>0</v>
      </c>
      <c r="V394" s="33"/>
      <c r="W394" s="33"/>
      <c r="X394" s="33"/>
      <c r="Y394" s="33"/>
    </row>
    <row r="395" spans="1:25" x14ac:dyDescent="0.25">
      <c r="A395" s="33"/>
      <c r="B395" s="34">
        <v>712</v>
      </c>
      <c r="C395" s="34" t="s">
        <v>431</v>
      </c>
      <c r="D395" s="53" t="s">
        <v>200</v>
      </c>
      <c r="E395" s="53" t="s">
        <v>201</v>
      </c>
      <c r="F395" s="53" t="s">
        <v>202</v>
      </c>
      <c r="G395" s="34" t="s">
        <v>432</v>
      </c>
      <c r="H395" s="34" t="s">
        <v>60</v>
      </c>
      <c r="I395" s="33"/>
      <c r="J395" s="42"/>
      <c r="K395" s="43"/>
      <c r="L395" s="44"/>
      <c r="M39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95" s="38">
        <f>Tableau13452729313335374951944325[[#This Row],[MONTANT OPERATION]]+Tableau13452729313335374951944325[[#This Row],[POS  FUSIONNEE CPTE AVANT OP]]</f>
        <v>0</v>
      </c>
      <c r="O39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95" s="39" t="e">
        <f>Tableau13452729313335374951944325[[#This Row],[DEPASSEMENT TOTAL SUR AUTO
]]/-Tableau13452729313335374951944325[[#This Row],[MONTANT AUTO]]</f>
        <v>#VALUE!</v>
      </c>
      <c r="Q395" s="33"/>
      <c r="R395" s="33"/>
      <c r="S395" s="33"/>
      <c r="T39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95" s="57">
        <f>ABS(Tableau13452729313335374951944325[[#This Row],[MONTANT DEPASSEMENT]]*0.005)</f>
        <v>0</v>
      </c>
      <c r="V395" s="33"/>
      <c r="W395" s="33"/>
      <c r="X395" s="33"/>
      <c r="Y395" s="33"/>
    </row>
    <row r="396" spans="1:25" x14ac:dyDescent="0.25">
      <c r="A396" s="33"/>
      <c r="B396" s="34">
        <v>712</v>
      </c>
      <c r="C396" s="34" t="s">
        <v>431</v>
      </c>
      <c r="D396" s="53" t="s">
        <v>531</v>
      </c>
      <c r="E396" s="53" t="s">
        <v>532</v>
      </c>
      <c r="F396" s="53" t="s">
        <v>231</v>
      </c>
      <c r="G396" s="34" t="s">
        <v>533</v>
      </c>
      <c r="H396" s="34" t="s">
        <v>27</v>
      </c>
      <c r="I396" s="33"/>
      <c r="J396" s="42"/>
      <c r="K396" s="43"/>
      <c r="L396" s="44"/>
      <c r="M39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96" s="38">
        <f>Tableau13452729313335374951944325[[#This Row],[MONTANT OPERATION]]+Tableau13452729313335374951944325[[#This Row],[POS  FUSIONNEE CPTE AVANT OP]]</f>
        <v>0</v>
      </c>
      <c r="O39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96" s="39" t="e">
        <f>Tableau13452729313335374951944325[[#This Row],[DEPASSEMENT TOTAL SUR AUTO
]]/-Tableau13452729313335374951944325[[#This Row],[MONTANT AUTO]]</f>
        <v>#VALUE!</v>
      </c>
      <c r="Q396" s="33"/>
      <c r="R396" s="33"/>
      <c r="S396" s="33"/>
      <c r="T39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96" s="57">
        <f>ABS(Tableau13452729313335374951944325[[#This Row],[MONTANT DEPASSEMENT]]*0.005)</f>
        <v>0</v>
      </c>
      <c r="V396" s="33"/>
      <c r="W396" s="33"/>
      <c r="X396" s="33"/>
      <c r="Y396" s="33"/>
    </row>
    <row r="397" spans="1:25" x14ac:dyDescent="0.25">
      <c r="A397" s="33"/>
      <c r="B397" s="34">
        <v>712</v>
      </c>
      <c r="C397" s="34" t="s">
        <v>431</v>
      </c>
      <c r="D397" s="53" t="s">
        <v>246</v>
      </c>
      <c r="E397" s="53" t="s">
        <v>247</v>
      </c>
      <c r="F397" s="53" t="s">
        <v>192</v>
      </c>
      <c r="G397" s="34" t="s">
        <v>534</v>
      </c>
      <c r="H397" s="34" t="s">
        <v>27</v>
      </c>
      <c r="I397" s="33"/>
      <c r="J397" s="42"/>
      <c r="K397" s="43"/>
      <c r="L397" s="44"/>
      <c r="M39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97" s="38">
        <f>Tableau13452729313335374951944325[[#This Row],[MONTANT OPERATION]]+Tableau13452729313335374951944325[[#This Row],[POS  FUSIONNEE CPTE AVANT OP]]</f>
        <v>0</v>
      </c>
      <c r="O39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97" s="39" t="e">
        <f>Tableau13452729313335374951944325[[#This Row],[DEPASSEMENT TOTAL SUR AUTO
]]/-Tableau13452729313335374951944325[[#This Row],[MONTANT AUTO]]</f>
        <v>#VALUE!</v>
      </c>
      <c r="Q397" s="33"/>
      <c r="R397" s="33"/>
      <c r="S397" s="33"/>
      <c r="T39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97" s="57">
        <f>ABS(Tableau13452729313335374951944325[[#This Row],[MONTANT DEPASSEMENT]]*0.005)</f>
        <v>0</v>
      </c>
      <c r="V397" s="33"/>
      <c r="W397" s="33"/>
      <c r="X397" s="33"/>
      <c r="Y397" s="33"/>
    </row>
    <row r="398" spans="1:25" x14ac:dyDescent="0.25">
      <c r="A398" s="33"/>
      <c r="B398" s="34">
        <v>714</v>
      </c>
      <c r="C398" s="34" t="s">
        <v>435</v>
      </c>
      <c r="D398" s="53" t="s">
        <v>87</v>
      </c>
      <c r="E398" s="53" t="s">
        <v>88</v>
      </c>
      <c r="F398" s="53" t="s">
        <v>89</v>
      </c>
      <c r="G398" s="34" t="s">
        <v>542</v>
      </c>
      <c r="H398" s="34" t="s">
        <v>31</v>
      </c>
      <c r="I398" s="33"/>
      <c r="J398" s="42"/>
      <c r="K398" s="43"/>
      <c r="L398" s="44"/>
      <c r="M39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98" s="38">
        <f>Tableau13452729313335374951944325[[#This Row],[MONTANT OPERATION]]+Tableau13452729313335374951944325[[#This Row],[POS  FUSIONNEE CPTE AVANT OP]]</f>
        <v>0</v>
      </c>
      <c r="O39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98" s="39" t="e">
        <f>Tableau13452729313335374951944325[[#This Row],[DEPASSEMENT TOTAL SUR AUTO
]]/-Tableau13452729313335374951944325[[#This Row],[MONTANT AUTO]]</f>
        <v>#VALUE!</v>
      </c>
      <c r="Q398" s="33"/>
      <c r="R398" s="33"/>
      <c r="S398" s="33"/>
      <c r="T39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98" s="57">
        <f>ABS(Tableau13452729313335374951944325[[#This Row],[MONTANT DEPASSEMENT]]*0.005)</f>
        <v>0</v>
      </c>
      <c r="V398" s="33"/>
      <c r="W398" s="33"/>
      <c r="X398" s="33"/>
      <c r="Y398" s="33"/>
    </row>
    <row r="399" spans="1:25" x14ac:dyDescent="0.25">
      <c r="A399" s="33"/>
      <c r="B399" s="34">
        <v>714</v>
      </c>
      <c r="C399" s="34" t="s">
        <v>435</v>
      </c>
      <c r="D399" s="53" t="s">
        <v>157</v>
      </c>
      <c r="E399" s="53" t="s">
        <v>181</v>
      </c>
      <c r="F399" s="53" t="s">
        <v>158</v>
      </c>
      <c r="G399" s="34" t="s">
        <v>436</v>
      </c>
      <c r="H399" s="34" t="s">
        <v>27</v>
      </c>
      <c r="I399" s="33"/>
      <c r="J399" s="42"/>
      <c r="K399" s="43"/>
      <c r="L399" s="44"/>
      <c r="M39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399" s="38">
        <f>Tableau13452729313335374951944325[[#This Row],[MONTANT OPERATION]]+Tableau13452729313335374951944325[[#This Row],[POS  FUSIONNEE CPTE AVANT OP]]</f>
        <v>0</v>
      </c>
      <c r="O39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399" s="39" t="e">
        <f>Tableau13452729313335374951944325[[#This Row],[DEPASSEMENT TOTAL SUR AUTO
]]/-Tableau13452729313335374951944325[[#This Row],[MONTANT AUTO]]</f>
        <v>#VALUE!</v>
      </c>
      <c r="Q399" s="33"/>
      <c r="R399" s="33"/>
      <c r="S399" s="33"/>
      <c r="T39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399" s="57">
        <f>ABS(Tableau13452729313335374951944325[[#This Row],[MONTANT DEPASSEMENT]]*0.005)</f>
        <v>0</v>
      </c>
      <c r="V399" s="33"/>
      <c r="W399" s="33"/>
      <c r="X399" s="33"/>
      <c r="Y399" s="33"/>
    </row>
    <row r="400" spans="1:25" x14ac:dyDescent="0.25">
      <c r="A400" s="33"/>
      <c r="B400" s="34">
        <v>714</v>
      </c>
      <c r="C400" s="34" t="s">
        <v>435</v>
      </c>
      <c r="D400" s="53" t="s">
        <v>248</v>
      </c>
      <c r="E400" s="53" t="s">
        <v>249</v>
      </c>
      <c r="F400" s="53" t="s">
        <v>250</v>
      </c>
      <c r="G400" s="34" t="s">
        <v>655</v>
      </c>
      <c r="H400" s="34" t="s">
        <v>27</v>
      </c>
      <c r="I400" s="33"/>
      <c r="J400" s="42"/>
      <c r="K400" s="43"/>
      <c r="L400" s="44"/>
      <c r="M40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00" s="38">
        <f>Tableau13452729313335374951944325[[#This Row],[MONTANT OPERATION]]+Tableau13452729313335374951944325[[#This Row],[POS  FUSIONNEE CPTE AVANT OP]]</f>
        <v>0</v>
      </c>
      <c r="O40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00" s="39" t="e">
        <f>Tableau13452729313335374951944325[[#This Row],[DEPASSEMENT TOTAL SUR AUTO
]]/-Tableau13452729313335374951944325[[#This Row],[MONTANT AUTO]]</f>
        <v>#VALUE!</v>
      </c>
      <c r="Q400" s="33"/>
      <c r="R400" s="33"/>
      <c r="S400" s="33"/>
      <c r="T40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00" s="57">
        <f>ABS(Tableau13452729313335374951944325[[#This Row],[MONTANT DEPASSEMENT]]*0.005)</f>
        <v>0</v>
      </c>
      <c r="V400" s="33"/>
      <c r="W400" s="33"/>
      <c r="X400" s="33"/>
      <c r="Y400" s="33"/>
    </row>
    <row r="401" spans="1:25" x14ac:dyDescent="0.25">
      <c r="A401" s="33"/>
      <c r="B401" s="34">
        <v>714</v>
      </c>
      <c r="C401" s="34" t="s">
        <v>435</v>
      </c>
      <c r="D401" s="53" t="s">
        <v>114</v>
      </c>
      <c r="E401" s="53" t="s">
        <v>115</v>
      </c>
      <c r="F401" s="53" t="s">
        <v>26</v>
      </c>
      <c r="G401" s="34" t="s">
        <v>547</v>
      </c>
      <c r="H401" s="34" t="s">
        <v>27</v>
      </c>
      <c r="I401" s="33"/>
      <c r="J401" s="42"/>
      <c r="K401" s="43"/>
      <c r="L401" s="44"/>
      <c r="M40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01" s="38">
        <f>Tableau13452729313335374951944325[[#This Row],[MONTANT OPERATION]]+Tableau13452729313335374951944325[[#This Row],[POS  FUSIONNEE CPTE AVANT OP]]</f>
        <v>0</v>
      </c>
      <c r="O40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01" s="39" t="e">
        <f>Tableau13452729313335374951944325[[#This Row],[DEPASSEMENT TOTAL SUR AUTO
]]/-Tableau13452729313335374951944325[[#This Row],[MONTANT AUTO]]</f>
        <v>#VALUE!</v>
      </c>
      <c r="Q401" s="33"/>
      <c r="R401" s="33"/>
      <c r="S401" s="33"/>
      <c r="T40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01" s="57">
        <f>ABS(Tableau13452729313335374951944325[[#This Row],[MONTANT DEPASSEMENT]]*0.005)</f>
        <v>0</v>
      </c>
      <c r="V401" s="33"/>
      <c r="W401" s="33"/>
      <c r="X401" s="33"/>
      <c r="Y401" s="33"/>
    </row>
    <row r="402" spans="1:25" x14ac:dyDescent="0.25">
      <c r="A402" s="33"/>
      <c r="B402" s="34">
        <v>714</v>
      </c>
      <c r="C402" s="34" t="s">
        <v>435</v>
      </c>
      <c r="D402" s="53" t="s">
        <v>243</v>
      </c>
      <c r="E402" s="53" t="s">
        <v>244</v>
      </c>
      <c r="F402" s="53" t="s">
        <v>245</v>
      </c>
      <c r="G402" s="34" t="s">
        <v>438</v>
      </c>
      <c r="H402" s="34" t="s">
        <v>27</v>
      </c>
      <c r="I402" s="33"/>
      <c r="J402" s="42"/>
      <c r="K402" s="43"/>
      <c r="L402" s="44"/>
      <c r="M40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02" s="38">
        <f>Tableau13452729313335374951944325[[#This Row],[MONTANT OPERATION]]+Tableau13452729313335374951944325[[#This Row],[POS  FUSIONNEE CPTE AVANT OP]]</f>
        <v>0</v>
      </c>
      <c r="O40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02" s="39" t="e">
        <f>Tableau13452729313335374951944325[[#This Row],[DEPASSEMENT TOTAL SUR AUTO
]]/-Tableau13452729313335374951944325[[#This Row],[MONTANT AUTO]]</f>
        <v>#VALUE!</v>
      </c>
      <c r="Q402" s="33"/>
      <c r="R402" s="33"/>
      <c r="S402" s="33"/>
      <c r="T40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02" s="57">
        <f>ABS(Tableau13452729313335374951944325[[#This Row],[MONTANT DEPASSEMENT]]*0.005)</f>
        <v>0</v>
      </c>
      <c r="V402" s="33"/>
      <c r="W402" s="33"/>
      <c r="X402" s="33"/>
      <c r="Y402" s="33"/>
    </row>
    <row r="403" spans="1:25" x14ac:dyDescent="0.25">
      <c r="A403" s="33"/>
      <c r="B403" s="34">
        <v>715</v>
      </c>
      <c r="C403" s="34" t="s">
        <v>439</v>
      </c>
      <c r="D403" s="53" t="s">
        <v>328</v>
      </c>
      <c r="E403" s="53" t="s">
        <v>329</v>
      </c>
      <c r="F403" s="53" t="s">
        <v>203</v>
      </c>
      <c r="G403" s="34" t="s">
        <v>530</v>
      </c>
      <c r="H403" s="34" t="s">
        <v>27</v>
      </c>
      <c r="I403" s="33"/>
      <c r="J403" s="42"/>
      <c r="K403" s="43"/>
      <c r="L403" s="44"/>
      <c r="M40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03" s="38">
        <f>Tableau13452729313335374951944325[[#This Row],[MONTANT OPERATION]]+Tableau13452729313335374951944325[[#This Row],[POS  FUSIONNEE CPTE AVANT OP]]</f>
        <v>0</v>
      </c>
      <c r="O40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03" s="39" t="e">
        <f>Tableau13452729313335374951944325[[#This Row],[DEPASSEMENT TOTAL SUR AUTO
]]/-Tableau13452729313335374951944325[[#This Row],[MONTANT AUTO]]</f>
        <v>#VALUE!</v>
      </c>
      <c r="Q403" s="33"/>
      <c r="R403" s="33"/>
      <c r="S403" s="33"/>
      <c r="T40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03" s="57">
        <f>ABS(Tableau13452729313335374951944325[[#This Row],[MONTANT DEPASSEMENT]]*0.005)</f>
        <v>0</v>
      </c>
      <c r="V403" s="33"/>
      <c r="W403" s="33"/>
      <c r="X403" s="33"/>
      <c r="Y403" s="33"/>
    </row>
    <row r="404" spans="1:25" x14ac:dyDescent="0.25">
      <c r="A404" s="33"/>
      <c r="B404" s="34">
        <v>715</v>
      </c>
      <c r="C404" s="34" t="s">
        <v>439</v>
      </c>
      <c r="D404" s="53" t="s">
        <v>263</v>
      </c>
      <c r="E404" s="53" t="s">
        <v>264</v>
      </c>
      <c r="F404" s="53" t="s">
        <v>265</v>
      </c>
      <c r="G404" s="34" t="s">
        <v>512</v>
      </c>
      <c r="H404" s="34" t="s">
        <v>31</v>
      </c>
      <c r="I404" s="33"/>
      <c r="J404" s="42"/>
      <c r="K404" s="43"/>
      <c r="L404" s="44"/>
      <c r="M40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04" s="38">
        <f>Tableau13452729313335374951944325[[#This Row],[MONTANT OPERATION]]+Tableau13452729313335374951944325[[#This Row],[POS  FUSIONNEE CPTE AVANT OP]]</f>
        <v>0</v>
      </c>
      <c r="O40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04" s="39" t="e">
        <f>Tableau13452729313335374951944325[[#This Row],[DEPASSEMENT TOTAL SUR AUTO
]]/-Tableau13452729313335374951944325[[#This Row],[MONTANT AUTO]]</f>
        <v>#VALUE!</v>
      </c>
      <c r="Q404" s="33"/>
      <c r="R404" s="33"/>
      <c r="S404" s="33"/>
      <c r="T40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04" s="57">
        <f>ABS(Tableau13452729313335374951944325[[#This Row],[MONTANT DEPASSEMENT]]*0.005)</f>
        <v>0</v>
      </c>
      <c r="V404" s="33"/>
      <c r="W404" s="33"/>
      <c r="X404" s="33"/>
      <c r="Y404" s="33"/>
    </row>
    <row r="405" spans="1:25" x14ac:dyDescent="0.25">
      <c r="A405" s="33"/>
      <c r="B405" s="34">
        <v>715</v>
      </c>
      <c r="C405" s="34" t="s">
        <v>439</v>
      </c>
      <c r="D405" s="53" t="s">
        <v>183</v>
      </c>
      <c r="E405" s="53" t="s">
        <v>113</v>
      </c>
      <c r="F405" s="53" t="s">
        <v>184</v>
      </c>
      <c r="G405" s="34" t="s">
        <v>441</v>
      </c>
      <c r="H405" s="34" t="s">
        <v>27</v>
      </c>
      <c r="I405" s="33"/>
      <c r="J405" s="42"/>
      <c r="K405" s="43"/>
      <c r="L405" s="44"/>
      <c r="M40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05" s="38">
        <f>Tableau13452729313335374951944325[[#This Row],[MONTANT OPERATION]]+Tableau13452729313335374951944325[[#This Row],[POS  FUSIONNEE CPTE AVANT OP]]</f>
        <v>0</v>
      </c>
      <c r="O40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05" s="39" t="e">
        <f>Tableau13452729313335374951944325[[#This Row],[DEPASSEMENT TOTAL SUR AUTO
]]/-Tableau13452729313335374951944325[[#This Row],[MONTANT AUTO]]</f>
        <v>#VALUE!</v>
      </c>
      <c r="Q405" s="33"/>
      <c r="R405" s="33"/>
      <c r="S405" s="33"/>
      <c r="T40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05" s="57">
        <f>ABS(Tableau13452729313335374951944325[[#This Row],[MONTANT DEPASSEMENT]]*0.005)</f>
        <v>0</v>
      </c>
      <c r="V405" s="33"/>
      <c r="W405" s="33"/>
      <c r="X405" s="33"/>
      <c r="Y405" s="33"/>
    </row>
    <row r="406" spans="1:25" x14ac:dyDescent="0.25">
      <c r="A406" s="33"/>
      <c r="B406" s="34">
        <v>715</v>
      </c>
      <c r="C406" s="34" t="s">
        <v>439</v>
      </c>
      <c r="D406" s="53" t="s">
        <v>194</v>
      </c>
      <c r="E406" s="53" t="s">
        <v>195</v>
      </c>
      <c r="F406" s="53" t="s">
        <v>196</v>
      </c>
      <c r="G406" s="34" t="s">
        <v>560</v>
      </c>
      <c r="H406" s="34" t="s">
        <v>27</v>
      </c>
      <c r="I406" s="33"/>
      <c r="J406" s="42"/>
      <c r="K406" s="43"/>
      <c r="L406" s="44"/>
      <c r="M40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06" s="38">
        <f>Tableau13452729313335374951944325[[#This Row],[MONTANT OPERATION]]+Tableau13452729313335374951944325[[#This Row],[POS  FUSIONNEE CPTE AVANT OP]]</f>
        <v>0</v>
      </c>
      <c r="O40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06" s="39" t="e">
        <f>Tableau13452729313335374951944325[[#This Row],[DEPASSEMENT TOTAL SUR AUTO
]]/-Tableau13452729313335374951944325[[#This Row],[MONTANT AUTO]]</f>
        <v>#VALUE!</v>
      </c>
      <c r="Q406" s="33"/>
      <c r="R406" s="33"/>
      <c r="S406" s="33"/>
      <c r="T40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06" s="57">
        <f>ABS(Tableau13452729313335374951944325[[#This Row],[MONTANT DEPASSEMENT]]*0.005)</f>
        <v>0</v>
      </c>
      <c r="V406" s="33"/>
      <c r="W406" s="33"/>
      <c r="X406" s="33"/>
      <c r="Y406" s="33"/>
    </row>
    <row r="407" spans="1:25" x14ac:dyDescent="0.25">
      <c r="A407" s="33"/>
      <c r="B407" s="34">
        <v>716</v>
      </c>
      <c r="C407" s="34" t="s">
        <v>563</v>
      </c>
      <c r="D407" s="53" t="s">
        <v>153</v>
      </c>
      <c r="E407" s="53" t="s">
        <v>154</v>
      </c>
      <c r="F407" s="53" t="s">
        <v>191</v>
      </c>
      <c r="G407" s="34" t="s">
        <v>564</v>
      </c>
      <c r="H407" s="34" t="s">
        <v>31</v>
      </c>
      <c r="I407" s="33"/>
      <c r="J407" s="42"/>
      <c r="K407" s="43"/>
      <c r="L407" s="44"/>
      <c r="M40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07" s="38">
        <f>Tableau13452729313335374951944325[[#This Row],[MONTANT OPERATION]]+Tableau13452729313335374951944325[[#This Row],[POS  FUSIONNEE CPTE AVANT OP]]</f>
        <v>0</v>
      </c>
      <c r="O40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07" s="39" t="e">
        <f>Tableau13452729313335374951944325[[#This Row],[DEPASSEMENT TOTAL SUR AUTO
]]/-Tableau13452729313335374951944325[[#This Row],[MONTANT AUTO]]</f>
        <v>#VALUE!</v>
      </c>
      <c r="Q407" s="33"/>
      <c r="R407" s="33"/>
      <c r="S407" s="33"/>
      <c r="T40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07" s="57">
        <f>ABS(Tableau13452729313335374951944325[[#This Row],[MONTANT DEPASSEMENT]]*0.005)</f>
        <v>0</v>
      </c>
      <c r="V407" s="33"/>
      <c r="W407" s="33"/>
      <c r="X407" s="33"/>
      <c r="Y407" s="33"/>
    </row>
    <row r="408" spans="1:25" x14ac:dyDescent="0.25">
      <c r="A408" s="33"/>
      <c r="B408" s="34">
        <v>716</v>
      </c>
      <c r="C408" s="34" t="s">
        <v>563</v>
      </c>
      <c r="D408" s="53" t="s">
        <v>109</v>
      </c>
      <c r="E408" s="53" t="s">
        <v>208</v>
      </c>
      <c r="F408" s="53" t="s">
        <v>205</v>
      </c>
      <c r="G408" s="34" t="s">
        <v>565</v>
      </c>
      <c r="H408" s="34" t="s">
        <v>60</v>
      </c>
      <c r="I408" s="33"/>
      <c r="J408" s="42"/>
      <c r="K408" s="43"/>
      <c r="L408" s="44"/>
      <c r="M40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08" s="38">
        <f>Tableau13452729313335374951944325[[#This Row],[MONTANT OPERATION]]+Tableau13452729313335374951944325[[#This Row],[POS  FUSIONNEE CPTE AVANT OP]]</f>
        <v>0</v>
      </c>
      <c r="O40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08" s="39" t="e">
        <f>Tableau13452729313335374951944325[[#This Row],[DEPASSEMENT TOTAL SUR AUTO
]]/-Tableau13452729313335374951944325[[#This Row],[MONTANT AUTO]]</f>
        <v>#VALUE!</v>
      </c>
      <c r="Q408" s="33"/>
      <c r="R408" s="33"/>
      <c r="S408" s="33"/>
      <c r="T40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08" s="57">
        <f>ABS(Tableau13452729313335374951944325[[#This Row],[MONTANT DEPASSEMENT]]*0.005)</f>
        <v>0</v>
      </c>
      <c r="V408" s="33"/>
      <c r="W408" s="33"/>
      <c r="X408" s="33"/>
      <c r="Y408" s="33"/>
    </row>
    <row r="409" spans="1:25" x14ac:dyDescent="0.25">
      <c r="A409" s="33"/>
      <c r="B409" s="34">
        <v>718</v>
      </c>
      <c r="C409" s="34" t="s">
        <v>462</v>
      </c>
      <c r="D409" s="53" t="s">
        <v>65</v>
      </c>
      <c r="E409" s="53" t="s">
        <v>66</v>
      </c>
      <c r="F409" s="53" t="s">
        <v>192</v>
      </c>
      <c r="G409" s="34" t="s">
        <v>513</v>
      </c>
      <c r="H409" s="34" t="s">
        <v>31</v>
      </c>
      <c r="I409" s="33"/>
      <c r="J409" s="42"/>
      <c r="K409" s="43"/>
      <c r="L409" s="44"/>
      <c r="M40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09" s="38">
        <f>Tableau13452729313335374951944325[[#This Row],[MONTANT OPERATION]]+Tableau13452729313335374951944325[[#This Row],[POS  FUSIONNEE CPTE AVANT OP]]</f>
        <v>0</v>
      </c>
      <c r="O40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09" s="39" t="e">
        <f>Tableau13452729313335374951944325[[#This Row],[DEPASSEMENT TOTAL SUR AUTO
]]/-Tableau13452729313335374951944325[[#This Row],[MONTANT AUTO]]</f>
        <v>#VALUE!</v>
      </c>
      <c r="Q409" s="33"/>
      <c r="R409" s="33"/>
      <c r="S409" s="33"/>
      <c r="T40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09" s="57">
        <f>ABS(Tableau13452729313335374951944325[[#This Row],[MONTANT DEPASSEMENT]]*0.005)</f>
        <v>0</v>
      </c>
      <c r="V409" s="33"/>
      <c r="W409" s="33"/>
      <c r="X409" s="33"/>
      <c r="Y409" s="33"/>
    </row>
    <row r="410" spans="1:25" x14ac:dyDescent="0.25">
      <c r="A410" s="33"/>
      <c r="B410" s="34">
        <v>718</v>
      </c>
      <c r="C410" s="34" t="s">
        <v>462</v>
      </c>
      <c r="D410" s="53" t="s">
        <v>367</v>
      </c>
      <c r="E410" s="53" t="s">
        <v>368</v>
      </c>
      <c r="F410" s="53" t="s">
        <v>230</v>
      </c>
      <c r="G410" s="34" t="s">
        <v>570</v>
      </c>
      <c r="H410" s="34" t="s">
        <v>31</v>
      </c>
      <c r="I410" s="33"/>
      <c r="J410" s="42"/>
      <c r="K410" s="43"/>
      <c r="L410" s="44"/>
      <c r="M41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10" s="38">
        <f>Tableau13452729313335374951944325[[#This Row],[MONTANT OPERATION]]+Tableau13452729313335374951944325[[#This Row],[POS  FUSIONNEE CPTE AVANT OP]]</f>
        <v>0</v>
      </c>
      <c r="O41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10" s="39" t="e">
        <f>Tableau13452729313335374951944325[[#This Row],[DEPASSEMENT TOTAL SUR AUTO
]]/-Tableau13452729313335374951944325[[#This Row],[MONTANT AUTO]]</f>
        <v>#VALUE!</v>
      </c>
      <c r="Q410" s="33"/>
      <c r="R410" s="33"/>
      <c r="S410" s="33"/>
      <c r="T41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10" s="57">
        <f>ABS(Tableau13452729313335374951944325[[#This Row],[MONTANT DEPASSEMENT]]*0.005)</f>
        <v>0</v>
      </c>
      <c r="V410" s="33"/>
      <c r="W410" s="33"/>
      <c r="X410" s="33"/>
      <c r="Y410" s="33"/>
    </row>
    <row r="411" spans="1:25" x14ac:dyDescent="0.25">
      <c r="A411" s="33"/>
      <c r="B411" s="34">
        <v>718</v>
      </c>
      <c r="C411" s="34" t="s">
        <v>462</v>
      </c>
      <c r="D411" s="53" t="s">
        <v>75</v>
      </c>
      <c r="E411" s="53" t="s">
        <v>76</v>
      </c>
      <c r="F411" s="53" t="s">
        <v>77</v>
      </c>
      <c r="G411" s="34" t="s">
        <v>571</v>
      </c>
      <c r="H411" s="34" t="s">
        <v>31</v>
      </c>
      <c r="I411" s="33"/>
      <c r="J411" s="42"/>
      <c r="K411" s="43"/>
      <c r="L411" s="44"/>
      <c r="M41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11" s="38">
        <f>Tableau13452729313335374951944325[[#This Row],[MONTANT OPERATION]]+Tableau13452729313335374951944325[[#This Row],[POS  FUSIONNEE CPTE AVANT OP]]</f>
        <v>0</v>
      </c>
      <c r="O41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11" s="39" t="e">
        <f>Tableau13452729313335374951944325[[#This Row],[DEPASSEMENT TOTAL SUR AUTO
]]/-Tableau13452729313335374951944325[[#This Row],[MONTANT AUTO]]</f>
        <v>#VALUE!</v>
      </c>
      <c r="Q411" s="33"/>
      <c r="R411" s="33"/>
      <c r="S411" s="33"/>
      <c r="T41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11" s="57">
        <f>ABS(Tableau13452729313335374951944325[[#This Row],[MONTANT DEPASSEMENT]]*0.005)</f>
        <v>0</v>
      </c>
      <c r="V411" s="33"/>
      <c r="W411" s="33"/>
      <c r="X411" s="33"/>
      <c r="Y411" s="33"/>
    </row>
    <row r="412" spans="1:25" x14ac:dyDescent="0.25">
      <c r="A412" s="33"/>
      <c r="B412" s="34">
        <v>718</v>
      </c>
      <c r="C412" s="34" t="s">
        <v>462</v>
      </c>
      <c r="D412" s="53" t="s">
        <v>193</v>
      </c>
      <c r="E412" s="53" t="s">
        <v>55</v>
      </c>
      <c r="F412" s="53" t="s">
        <v>92</v>
      </c>
      <c r="G412" s="34" t="s">
        <v>648</v>
      </c>
      <c r="H412" s="34" t="s">
        <v>27</v>
      </c>
      <c r="I412" s="33"/>
      <c r="J412" s="42"/>
      <c r="K412" s="43"/>
      <c r="L412" s="44"/>
      <c r="M41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12" s="38">
        <f>Tableau13452729313335374951944325[[#This Row],[MONTANT OPERATION]]+Tableau13452729313335374951944325[[#This Row],[POS  FUSIONNEE CPTE AVANT OP]]</f>
        <v>0</v>
      </c>
      <c r="O41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12" s="39" t="e">
        <f>Tableau13452729313335374951944325[[#This Row],[DEPASSEMENT TOTAL SUR AUTO
]]/-Tableau13452729313335374951944325[[#This Row],[MONTANT AUTO]]</f>
        <v>#VALUE!</v>
      </c>
      <c r="Q412" s="33"/>
      <c r="R412" s="33"/>
      <c r="S412" s="33"/>
      <c r="T41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12" s="57">
        <f>ABS(Tableau13452729313335374951944325[[#This Row],[MONTANT DEPASSEMENT]]*0.005)</f>
        <v>0</v>
      </c>
      <c r="V412" s="33"/>
      <c r="W412" s="33"/>
      <c r="X412" s="33"/>
      <c r="Y412" s="33"/>
    </row>
    <row r="413" spans="1:25" x14ac:dyDescent="0.25">
      <c r="A413" s="33"/>
      <c r="B413" s="34">
        <v>800</v>
      </c>
      <c r="C413" s="34" t="s">
        <v>444</v>
      </c>
      <c r="D413" s="53" t="s">
        <v>73</v>
      </c>
      <c r="E413" s="53" t="s">
        <v>74</v>
      </c>
      <c r="F413" s="53" t="s">
        <v>330</v>
      </c>
      <c r="G413" s="34" t="s">
        <v>592</v>
      </c>
      <c r="H413" s="34" t="s">
        <v>31</v>
      </c>
      <c r="I413" s="33"/>
      <c r="J413" s="42"/>
      <c r="K413" s="43"/>
      <c r="L413" s="44"/>
      <c r="M41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13" s="38">
        <f>Tableau13452729313335374951944325[[#This Row],[MONTANT OPERATION]]+Tableau13452729313335374951944325[[#This Row],[POS  FUSIONNEE CPTE AVANT OP]]</f>
        <v>0</v>
      </c>
      <c r="O41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13" s="39" t="e">
        <f>Tableau13452729313335374951944325[[#This Row],[DEPASSEMENT TOTAL SUR AUTO
]]/-Tableau13452729313335374951944325[[#This Row],[MONTANT AUTO]]</f>
        <v>#VALUE!</v>
      </c>
      <c r="Q413" s="33"/>
      <c r="R413" s="33"/>
      <c r="S413" s="33"/>
      <c r="T41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13" s="57">
        <f>ABS(Tableau13452729313335374951944325[[#This Row],[MONTANT DEPASSEMENT]]*0.005)</f>
        <v>0</v>
      </c>
      <c r="V413" s="33"/>
      <c r="W413" s="33"/>
      <c r="X413" s="33"/>
      <c r="Y413" s="33"/>
    </row>
    <row r="414" spans="1:25" x14ac:dyDescent="0.25">
      <c r="A414" s="33"/>
      <c r="B414" s="34">
        <v>800</v>
      </c>
      <c r="C414" s="34" t="s">
        <v>444</v>
      </c>
      <c r="D414" s="53" t="s">
        <v>167</v>
      </c>
      <c r="E414" s="53" t="s">
        <v>168</v>
      </c>
      <c r="F414" s="53" t="s">
        <v>210</v>
      </c>
      <c r="G414" s="34" t="s">
        <v>581</v>
      </c>
      <c r="H414" s="34" t="s">
        <v>31</v>
      </c>
      <c r="I414" s="33"/>
      <c r="J414" s="42"/>
      <c r="K414" s="43"/>
      <c r="L414" s="44"/>
      <c r="M41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14" s="38">
        <f>Tableau13452729313335374951944325[[#This Row],[MONTANT OPERATION]]+Tableau13452729313335374951944325[[#This Row],[POS  FUSIONNEE CPTE AVANT OP]]</f>
        <v>0</v>
      </c>
      <c r="O41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14" s="39" t="e">
        <f>Tableau13452729313335374951944325[[#This Row],[DEPASSEMENT TOTAL SUR AUTO
]]/-Tableau13452729313335374951944325[[#This Row],[MONTANT AUTO]]</f>
        <v>#VALUE!</v>
      </c>
      <c r="Q414" s="33"/>
      <c r="R414" s="33"/>
      <c r="S414" s="33"/>
      <c r="T41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14" s="57">
        <f>ABS(Tableau13452729313335374951944325[[#This Row],[MONTANT DEPASSEMENT]]*0.005)</f>
        <v>0</v>
      </c>
      <c r="V414" s="33"/>
      <c r="W414" s="33"/>
      <c r="X414" s="33"/>
      <c r="Y414" s="33"/>
    </row>
    <row r="415" spans="1:25" x14ac:dyDescent="0.25">
      <c r="A415" s="33"/>
      <c r="B415" s="34">
        <v>800</v>
      </c>
      <c r="C415" s="34" t="s">
        <v>444</v>
      </c>
      <c r="D415" s="53" t="s">
        <v>232</v>
      </c>
      <c r="E415" s="53" t="s">
        <v>233</v>
      </c>
      <c r="F415" s="53" t="s">
        <v>152</v>
      </c>
      <c r="G415" s="34" t="s">
        <v>465</v>
      </c>
      <c r="H415" s="34" t="s">
        <v>31</v>
      </c>
      <c r="I415" s="33"/>
      <c r="J415" s="42"/>
      <c r="K415" s="43"/>
      <c r="L415" s="44"/>
      <c r="M41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15" s="38">
        <f>Tableau13452729313335374951944325[[#This Row],[MONTANT OPERATION]]+Tableau13452729313335374951944325[[#This Row],[POS  FUSIONNEE CPTE AVANT OP]]</f>
        <v>0</v>
      </c>
      <c r="O41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15" s="39" t="e">
        <f>Tableau13452729313335374951944325[[#This Row],[DEPASSEMENT TOTAL SUR AUTO
]]/-Tableau13452729313335374951944325[[#This Row],[MONTANT AUTO]]</f>
        <v>#VALUE!</v>
      </c>
      <c r="Q415" s="33"/>
      <c r="R415" s="33"/>
      <c r="S415" s="33"/>
      <c r="T41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15" s="57">
        <f>ABS(Tableau13452729313335374951944325[[#This Row],[MONTANT DEPASSEMENT]]*0.005)</f>
        <v>0</v>
      </c>
      <c r="V415" s="33"/>
      <c r="W415" s="33"/>
      <c r="X415" s="33"/>
      <c r="Y415" s="33"/>
    </row>
    <row r="416" spans="1:25" x14ac:dyDescent="0.25">
      <c r="A416" s="33"/>
      <c r="B416" s="34">
        <v>800</v>
      </c>
      <c r="C416" s="34" t="s">
        <v>444</v>
      </c>
      <c r="D416" s="53" t="s">
        <v>97</v>
      </c>
      <c r="E416" s="53" t="s">
        <v>98</v>
      </c>
      <c r="F416" s="53" t="s">
        <v>81</v>
      </c>
      <c r="G416" s="34" t="s">
        <v>445</v>
      </c>
      <c r="H416" s="34" t="s">
        <v>31</v>
      </c>
      <c r="I416" s="33"/>
      <c r="J416" s="42"/>
      <c r="K416" s="43"/>
      <c r="L416" s="44"/>
      <c r="M41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16" s="38">
        <f>Tableau13452729313335374951944325[[#This Row],[MONTANT OPERATION]]+Tableau13452729313335374951944325[[#This Row],[POS  FUSIONNEE CPTE AVANT OP]]</f>
        <v>0</v>
      </c>
      <c r="O41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16" s="39" t="e">
        <f>Tableau13452729313335374951944325[[#This Row],[DEPASSEMENT TOTAL SUR AUTO
]]/-Tableau13452729313335374951944325[[#This Row],[MONTANT AUTO]]</f>
        <v>#VALUE!</v>
      </c>
      <c r="Q416" s="33"/>
      <c r="R416" s="33"/>
      <c r="S416" s="33"/>
      <c r="T41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16" s="57">
        <f>ABS(Tableau13452729313335374951944325[[#This Row],[MONTANT DEPASSEMENT]]*0.005)</f>
        <v>0</v>
      </c>
      <c r="V416" s="33"/>
      <c r="W416" s="33"/>
      <c r="X416" s="33"/>
      <c r="Y416" s="33"/>
    </row>
    <row r="417" spans="1:25" x14ac:dyDescent="0.25">
      <c r="A417" s="33"/>
      <c r="B417" s="34">
        <v>800</v>
      </c>
      <c r="C417" s="34" t="s">
        <v>444</v>
      </c>
      <c r="D417" s="53" t="s">
        <v>100</v>
      </c>
      <c r="E417" s="53" t="s">
        <v>197</v>
      </c>
      <c r="F417" s="53" t="s">
        <v>198</v>
      </c>
      <c r="G417" s="34" t="s">
        <v>649</v>
      </c>
      <c r="H417" s="34" t="s">
        <v>31</v>
      </c>
      <c r="I417" s="33"/>
      <c r="J417" s="42"/>
      <c r="K417" s="43"/>
      <c r="L417" s="44"/>
      <c r="M41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17" s="38">
        <f>Tableau13452729313335374951944325[[#This Row],[MONTANT OPERATION]]+Tableau13452729313335374951944325[[#This Row],[POS  FUSIONNEE CPTE AVANT OP]]</f>
        <v>0</v>
      </c>
      <c r="O41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17" s="39" t="e">
        <f>Tableau13452729313335374951944325[[#This Row],[DEPASSEMENT TOTAL SUR AUTO
]]/-Tableau13452729313335374951944325[[#This Row],[MONTANT AUTO]]</f>
        <v>#VALUE!</v>
      </c>
      <c r="Q417" s="33"/>
      <c r="R417" s="33"/>
      <c r="S417" s="33"/>
      <c r="T41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17" s="57">
        <f>ABS(Tableau13452729313335374951944325[[#This Row],[MONTANT DEPASSEMENT]]*0.005)</f>
        <v>0</v>
      </c>
      <c r="V417" s="33"/>
      <c r="W417" s="33"/>
      <c r="X417" s="33"/>
      <c r="Y417" s="33"/>
    </row>
    <row r="418" spans="1:25" x14ac:dyDescent="0.25">
      <c r="A418" s="33"/>
      <c r="B418" s="34">
        <v>800</v>
      </c>
      <c r="C418" s="34" t="s">
        <v>444</v>
      </c>
      <c r="D418" s="53" t="s">
        <v>100</v>
      </c>
      <c r="E418" s="53" t="s">
        <v>180</v>
      </c>
      <c r="F418" s="53" t="s">
        <v>49</v>
      </c>
      <c r="G418" s="34" t="s">
        <v>649</v>
      </c>
      <c r="H418" s="34" t="s">
        <v>60</v>
      </c>
      <c r="I418" s="33"/>
      <c r="J418" s="42"/>
      <c r="K418" s="43"/>
      <c r="L418" s="44"/>
      <c r="M41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18" s="38">
        <f>Tableau13452729313335374951944325[[#This Row],[MONTANT OPERATION]]+Tableau13452729313335374951944325[[#This Row],[POS  FUSIONNEE CPTE AVANT OP]]</f>
        <v>0</v>
      </c>
      <c r="O41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18" s="39" t="e">
        <f>Tableau13452729313335374951944325[[#This Row],[DEPASSEMENT TOTAL SUR AUTO
]]/-Tableau13452729313335374951944325[[#This Row],[MONTANT AUTO]]</f>
        <v>#VALUE!</v>
      </c>
      <c r="Q418" s="33"/>
      <c r="R418" s="33"/>
      <c r="S418" s="33"/>
      <c r="T41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18" s="57">
        <f>ABS(Tableau13452729313335374951944325[[#This Row],[MONTANT DEPASSEMENT]]*0.005)</f>
        <v>0</v>
      </c>
      <c r="V418" s="33"/>
      <c r="W418" s="33"/>
      <c r="X418" s="33"/>
      <c r="Y418" s="33"/>
    </row>
    <row r="419" spans="1:25" x14ac:dyDescent="0.25">
      <c r="A419" s="33"/>
      <c r="B419" s="34">
        <v>803</v>
      </c>
      <c r="C419" s="34" t="s">
        <v>447</v>
      </c>
      <c r="D419" s="53" t="s">
        <v>70</v>
      </c>
      <c r="E419" s="53" t="s">
        <v>71</v>
      </c>
      <c r="F419" s="53" t="s">
        <v>96</v>
      </c>
      <c r="G419" s="34" t="s">
        <v>448</v>
      </c>
      <c r="H419" s="34" t="s">
        <v>31</v>
      </c>
      <c r="I419" s="33"/>
      <c r="J419" s="42"/>
      <c r="K419" s="43"/>
      <c r="L419" s="44"/>
      <c r="M41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19" s="38">
        <f>Tableau13452729313335374951944325[[#This Row],[MONTANT OPERATION]]+Tableau13452729313335374951944325[[#This Row],[POS  FUSIONNEE CPTE AVANT OP]]</f>
        <v>0</v>
      </c>
      <c r="O41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19" s="39" t="e">
        <f>Tableau13452729313335374951944325[[#This Row],[DEPASSEMENT TOTAL SUR AUTO
]]/-Tableau13452729313335374951944325[[#This Row],[MONTANT AUTO]]</f>
        <v>#VALUE!</v>
      </c>
      <c r="Q419" s="33"/>
      <c r="R419" s="33"/>
      <c r="S419" s="33"/>
      <c r="T41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19" s="57">
        <f>ABS(Tableau13452729313335374951944325[[#This Row],[MONTANT DEPASSEMENT]]*0.005)</f>
        <v>0</v>
      </c>
      <c r="V419" s="33"/>
      <c r="W419" s="33"/>
      <c r="X419" s="33"/>
      <c r="Y419" s="33"/>
    </row>
    <row r="420" spans="1:25" x14ac:dyDescent="0.25">
      <c r="A420" s="33"/>
      <c r="B420" s="34">
        <v>803</v>
      </c>
      <c r="C420" s="34" t="s">
        <v>447</v>
      </c>
      <c r="D420" s="53" t="s">
        <v>56</v>
      </c>
      <c r="E420" s="53" t="s">
        <v>57</v>
      </c>
      <c r="F420" s="53" t="s">
        <v>116</v>
      </c>
      <c r="G420" s="34" t="s">
        <v>596</v>
      </c>
      <c r="H420" s="34" t="s">
        <v>31</v>
      </c>
      <c r="I420" s="33"/>
      <c r="J420" s="42"/>
      <c r="K420" s="43"/>
      <c r="L420" s="44"/>
      <c r="M42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20" s="38">
        <f>Tableau13452729313335374951944325[[#This Row],[MONTANT OPERATION]]+Tableau13452729313335374951944325[[#This Row],[POS  FUSIONNEE CPTE AVANT OP]]</f>
        <v>0</v>
      </c>
      <c r="O42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20" s="39" t="e">
        <f>Tableau13452729313335374951944325[[#This Row],[DEPASSEMENT TOTAL SUR AUTO
]]/-Tableau13452729313335374951944325[[#This Row],[MONTANT AUTO]]</f>
        <v>#VALUE!</v>
      </c>
      <c r="Q420" s="33"/>
      <c r="R420" s="33"/>
      <c r="S420" s="33"/>
      <c r="T42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20" s="57">
        <f>ABS(Tableau13452729313335374951944325[[#This Row],[MONTANT DEPASSEMENT]]*0.005)</f>
        <v>0</v>
      </c>
      <c r="V420" s="33"/>
      <c r="W420" s="33"/>
      <c r="X420" s="33"/>
      <c r="Y420" s="33"/>
    </row>
    <row r="421" spans="1:25" x14ac:dyDescent="0.25">
      <c r="A421" s="33"/>
      <c r="B421" s="34">
        <v>803</v>
      </c>
      <c r="C421" s="34" t="s">
        <v>447</v>
      </c>
      <c r="D421" s="53" t="s">
        <v>33</v>
      </c>
      <c r="E421" s="53" t="s">
        <v>34</v>
      </c>
      <c r="F421" s="53" t="s">
        <v>230</v>
      </c>
      <c r="G421" s="34" t="s">
        <v>466</v>
      </c>
      <c r="H421" s="34" t="s">
        <v>31</v>
      </c>
      <c r="I421" s="33"/>
      <c r="J421" s="42"/>
      <c r="K421" s="43"/>
      <c r="L421" s="44"/>
      <c r="M42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21" s="38">
        <f>Tableau13452729313335374951944325[[#This Row],[MONTANT OPERATION]]+Tableau13452729313335374951944325[[#This Row],[POS  FUSIONNEE CPTE AVANT OP]]</f>
        <v>0</v>
      </c>
      <c r="O42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21" s="39" t="e">
        <f>Tableau13452729313335374951944325[[#This Row],[DEPASSEMENT TOTAL SUR AUTO
]]/-Tableau13452729313335374951944325[[#This Row],[MONTANT AUTO]]</f>
        <v>#VALUE!</v>
      </c>
      <c r="Q421" s="33"/>
      <c r="R421" s="33"/>
      <c r="S421" s="33"/>
      <c r="T42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21" s="57">
        <f>ABS(Tableau13452729313335374951944325[[#This Row],[MONTANT DEPASSEMENT]]*0.005)</f>
        <v>0</v>
      </c>
      <c r="V421" s="33"/>
      <c r="W421" s="33"/>
      <c r="X421" s="33"/>
      <c r="Y421" s="33"/>
    </row>
    <row r="422" spans="1:25" x14ac:dyDescent="0.25">
      <c r="A422" s="33"/>
      <c r="B422" s="34">
        <v>803</v>
      </c>
      <c r="C422" s="34" t="s">
        <v>447</v>
      </c>
      <c r="D422" s="53" t="s">
        <v>238</v>
      </c>
      <c r="E422" s="53" t="s">
        <v>239</v>
      </c>
      <c r="F422" s="53" t="s">
        <v>187</v>
      </c>
      <c r="G422" s="34" t="s">
        <v>656</v>
      </c>
      <c r="H422" s="34" t="s">
        <v>31</v>
      </c>
      <c r="I422" s="33"/>
      <c r="J422" s="42"/>
      <c r="K422" s="43"/>
      <c r="L422" s="44"/>
      <c r="M42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22" s="38">
        <f>Tableau13452729313335374951944325[[#This Row],[MONTANT OPERATION]]+Tableau13452729313335374951944325[[#This Row],[POS  FUSIONNEE CPTE AVANT OP]]</f>
        <v>0</v>
      </c>
      <c r="O42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22" s="39" t="e">
        <f>Tableau13452729313335374951944325[[#This Row],[DEPASSEMENT TOTAL SUR AUTO
]]/-Tableau13452729313335374951944325[[#This Row],[MONTANT AUTO]]</f>
        <v>#VALUE!</v>
      </c>
      <c r="Q422" s="33"/>
      <c r="R422" s="33"/>
      <c r="S422" s="33"/>
      <c r="T42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22" s="57">
        <f>ABS(Tableau13452729313335374951944325[[#This Row],[MONTANT DEPASSEMENT]]*0.005)</f>
        <v>0</v>
      </c>
      <c r="V422" s="33"/>
      <c r="W422" s="33"/>
      <c r="X422" s="33"/>
      <c r="Y422" s="33"/>
    </row>
    <row r="423" spans="1:25" x14ac:dyDescent="0.25">
      <c r="A423" s="33"/>
      <c r="B423" s="34">
        <v>803</v>
      </c>
      <c r="C423" s="34" t="s">
        <v>447</v>
      </c>
      <c r="D423" s="53" t="s">
        <v>386</v>
      </c>
      <c r="E423" s="53" t="s">
        <v>387</v>
      </c>
      <c r="F423" s="53" t="s">
        <v>228</v>
      </c>
      <c r="G423" s="34" t="s">
        <v>559</v>
      </c>
      <c r="H423" s="34" t="s">
        <v>27</v>
      </c>
      <c r="I423" s="33"/>
      <c r="J423" s="42"/>
      <c r="K423" s="43"/>
      <c r="L423" s="44"/>
      <c r="M42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23" s="38">
        <f>Tableau13452729313335374951944325[[#This Row],[MONTANT OPERATION]]+Tableau13452729313335374951944325[[#This Row],[POS  FUSIONNEE CPTE AVANT OP]]</f>
        <v>0</v>
      </c>
      <c r="O42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23" s="39" t="e">
        <f>Tableau13452729313335374951944325[[#This Row],[DEPASSEMENT TOTAL SUR AUTO
]]/-Tableau13452729313335374951944325[[#This Row],[MONTANT AUTO]]</f>
        <v>#VALUE!</v>
      </c>
      <c r="Q423" s="33"/>
      <c r="R423" s="33"/>
      <c r="S423" s="33"/>
      <c r="T42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23" s="57">
        <f>ABS(Tableau13452729313335374951944325[[#This Row],[MONTANT DEPASSEMENT]]*0.005)</f>
        <v>0</v>
      </c>
      <c r="V423" s="33"/>
      <c r="W423" s="33"/>
      <c r="X423" s="33"/>
      <c r="Y423" s="33"/>
    </row>
    <row r="424" spans="1:25" x14ac:dyDescent="0.25">
      <c r="A424" s="33"/>
      <c r="B424" s="34">
        <v>806</v>
      </c>
      <c r="C424" s="34" t="s">
        <v>492</v>
      </c>
      <c r="D424" s="53" t="s">
        <v>543</v>
      </c>
      <c r="E424" s="53" t="s">
        <v>544</v>
      </c>
      <c r="F424" s="53" t="s">
        <v>302</v>
      </c>
      <c r="G424" s="34" t="s">
        <v>545</v>
      </c>
      <c r="H424" s="34" t="s">
        <v>31</v>
      </c>
      <c r="I424" s="33"/>
      <c r="J424" s="42"/>
      <c r="K424" s="43"/>
      <c r="L424" s="44"/>
      <c r="M42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24" s="38">
        <f>Tableau13452729313335374951944325[[#This Row],[MONTANT OPERATION]]+Tableau13452729313335374951944325[[#This Row],[POS  FUSIONNEE CPTE AVANT OP]]</f>
        <v>0</v>
      </c>
      <c r="O42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24" s="39" t="e">
        <f>Tableau13452729313335374951944325[[#This Row],[DEPASSEMENT TOTAL SUR AUTO
]]/-Tableau13452729313335374951944325[[#This Row],[MONTANT AUTO]]</f>
        <v>#VALUE!</v>
      </c>
      <c r="Q424" s="33"/>
      <c r="R424" s="33"/>
      <c r="S424" s="33"/>
      <c r="T42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24" s="57">
        <f>ABS(Tableau13452729313335374951944325[[#This Row],[MONTANT DEPASSEMENT]]*0.005)</f>
        <v>0</v>
      </c>
      <c r="V424" s="33"/>
      <c r="W424" s="33"/>
      <c r="X424" s="33"/>
      <c r="Y424" s="33"/>
    </row>
    <row r="425" spans="1:25" x14ac:dyDescent="0.25">
      <c r="A425" s="33"/>
      <c r="B425" s="34">
        <v>806</v>
      </c>
      <c r="C425" s="34" t="s">
        <v>492</v>
      </c>
      <c r="D425" s="53" t="s">
        <v>206</v>
      </c>
      <c r="E425" s="53" t="s">
        <v>207</v>
      </c>
      <c r="F425" s="53" t="s">
        <v>77</v>
      </c>
      <c r="G425" s="34" t="s">
        <v>514</v>
      </c>
      <c r="H425" s="34" t="s">
        <v>31</v>
      </c>
      <c r="I425" s="33"/>
      <c r="J425" s="42"/>
      <c r="K425" s="43"/>
      <c r="L425" s="44"/>
      <c r="M42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25" s="38">
        <f>Tableau13452729313335374951944325[[#This Row],[MONTANT OPERATION]]+Tableau13452729313335374951944325[[#This Row],[POS  FUSIONNEE CPTE AVANT OP]]</f>
        <v>0</v>
      </c>
      <c r="O42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25" s="39" t="e">
        <f>Tableau13452729313335374951944325[[#This Row],[DEPASSEMENT TOTAL SUR AUTO
]]/-Tableau13452729313335374951944325[[#This Row],[MONTANT AUTO]]</f>
        <v>#VALUE!</v>
      </c>
      <c r="Q425" s="33"/>
      <c r="R425" s="33"/>
      <c r="S425" s="33"/>
      <c r="T42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25" s="57">
        <f>ABS(Tableau13452729313335374951944325[[#This Row],[MONTANT DEPASSEMENT]]*0.005)</f>
        <v>0</v>
      </c>
      <c r="V425" s="33"/>
      <c r="W425" s="33"/>
      <c r="X425" s="33"/>
      <c r="Y425" s="33"/>
    </row>
    <row r="426" spans="1:25" x14ac:dyDescent="0.25">
      <c r="A426" s="33"/>
      <c r="B426" s="34">
        <v>806</v>
      </c>
      <c r="C426" s="34" t="s">
        <v>492</v>
      </c>
      <c r="D426" s="53" t="s">
        <v>150</v>
      </c>
      <c r="E426" s="53" t="s">
        <v>151</v>
      </c>
      <c r="F426" s="53" t="s">
        <v>152</v>
      </c>
      <c r="G426" s="34" t="s">
        <v>493</v>
      </c>
      <c r="H426" s="34" t="s">
        <v>31</v>
      </c>
      <c r="I426" s="33"/>
      <c r="J426" s="42"/>
      <c r="K426" s="43"/>
      <c r="L426" s="44"/>
      <c r="M42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26" s="38">
        <f>Tableau13452729313335374951944325[[#This Row],[MONTANT OPERATION]]+Tableau13452729313335374951944325[[#This Row],[POS  FUSIONNEE CPTE AVANT OP]]</f>
        <v>0</v>
      </c>
      <c r="O42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26" s="39" t="e">
        <f>Tableau13452729313335374951944325[[#This Row],[DEPASSEMENT TOTAL SUR AUTO
]]/-Tableau13452729313335374951944325[[#This Row],[MONTANT AUTO]]</f>
        <v>#VALUE!</v>
      </c>
      <c r="Q426" s="33"/>
      <c r="R426" s="33"/>
      <c r="S426" s="33"/>
      <c r="T42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26" s="57">
        <f>ABS(Tableau13452729313335374951944325[[#This Row],[MONTANT DEPASSEMENT]]*0.005)</f>
        <v>0</v>
      </c>
      <c r="V426" s="33"/>
      <c r="W426" s="33"/>
      <c r="X426" s="33"/>
      <c r="Y426" s="33"/>
    </row>
    <row r="427" spans="1:25" x14ac:dyDescent="0.25">
      <c r="A427" s="33"/>
      <c r="B427" s="34">
        <v>807</v>
      </c>
      <c r="C427" s="34" t="s">
        <v>442</v>
      </c>
      <c r="D427" s="53" t="s">
        <v>155</v>
      </c>
      <c r="E427" s="53" t="s">
        <v>156</v>
      </c>
      <c r="F427" s="53" t="s">
        <v>108</v>
      </c>
      <c r="G427" s="34" t="s">
        <v>468</v>
      </c>
      <c r="H427" s="34" t="s">
        <v>31</v>
      </c>
      <c r="I427" s="33"/>
      <c r="J427" s="42"/>
      <c r="K427" s="43"/>
      <c r="L427" s="44"/>
      <c r="M42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27" s="38">
        <f>Tableau13452729313335374951944325[[#This Row],[MONTANT OPERATION]]+Tableau13452729313335374951944325[[#This Row],[POS  FUSIONNEE CPTE AVANT OP]]</f>
        <v>0</v>
      </c>
      <c r="O42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27" s="39" t="e">
        <f>Tableau13452729313335374951944325[[#This Row],[DEPASSEMENT TOTAL SUR AUTO
]]/-Tableau13452729313335374951944325[[#This Row],[MONTANT AUTO]]</f>
        <v>#VALUE!</v>
      </c>
      <c r="Q427" s="33"/>
      <c r="R427" s="33"/>
      <c r="S427" s="33"/>
      <c r="T42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27" s="57">
        <f>ABS(Tableau13452729313335374951944325[[#This Row],[MONTANT DEPASSEMENT]]*0.005)</f>
        <v>0</v>
      </c>
      <c r="V427" s="33"/>
      <c r="W427" s="33"/>
      <c r="X427" s="33"/>
      <c r="Y427" s="33"/>
    </row>
    <row r="428" spans="1:25" x14ac:dyDescent="0.25">
      <c r="A428" s="33"/>
      <c r="B428" s="34">
        <v>807</v>
      </c>
      <c r="C428" s="34" t="s">
        <v>442</v>
      </c>
      <c r="D428" s="53" t="s">
        <v>253</v>
      </c>
      <c r="E428" s="53" t="s">
        <v>254</v>
      </c>
      <c r="F428" s="53" t="s">
        <v>37</v>
      </c>
      <c r="G428" s="34" t="s">
        <v>610</v>
      </c>
      <c r="H428" s="34" t="s">
        <v>31</v>
      </c>
      <c r="I428" s="33"/>
      <c r="J428" s="42"/>
      <c r="K428" s="43"/>
      <c r="L428" s="44"/>
      <c r="M42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28" s="38">
        <f>Tableau13452729313335374951944325[[#This Row],[MONTANT OPERATION]]+Tableau13452729313335374951944325[[#This Row],[POS  FUSIONNEE CPTE AVANT OP]]</f>
        <v>0</v>
      </c>
      <c r="O42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28" s="39" t="e">
        <f>Tableau13452729313335374951944325[[#This Row],[DEPASSEMENT TOTAL SUR AUTO
]]/-Tableau13452729313335374951944325[[#This Row],[MONTANT AUTO]]</f>
        <v>#VALUE!</v>
      </c>
      <c r="Q428" s="33"/>
      <c r="R428" s="33"/>
      <c r="S428" s="33"/>
      <c r="T42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28" s="57">
        <f>ABS(Tableau13452729313335374951944325[[#This Row],[MONTANT DEPASSEMENT]]*0.005)</f>
        <v>0</v>
      </c>
      <c r="V428" s="33"/>
      <c r="W428" s="33"/>
      <c r="X428" s="33"/>
      <c r="Y428" s="33"/>
    </row>
    <row r="429" spans="1:25" x14ac:dyDescent="0.25">
      <c r="A429" s="33"/>
      <c r="B429" s="34">
        <v>807</v>
      </c>
      <c r="C429" s="34" t="s">
        <v>442</v>
      </c>
      <c r="D429" s="53" t="s">
        <v>190</v>
      </c>
      <c r="E429" s="53" t="s">
        <v>212</v>
      </c>
      <c r="F429" s="53" t="s">
        <v>92</v>
      </c>
      <c r="G429" s="34" t="s">
        <v>443</v>
      </c>
      <c r="H429" s="34" t="s">
        <v>31</v>
      </c>
      <c r="I429" s="33"/>
      <c r="J429" s="42"/>
      <c r="K429" s="43"/>
      <c r="L429" s="44"/>
      <c r="M42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29" s="38">
        <f>Tableau13452729313335374951944325[[#This Row],[MONTANT OPERATION]]+Tableau13452729313335374951944325[[#This Row],[POS  FUSIONNEE CPTE AVANT OP]]</f>
        <v>0</v>
      </c>
      <c r="O42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29" s="39" t="e">
        <f>Tableau13452729313335374951944325[[#This Row],[DEPASSEMENT TOTAL SUR AUTO
]]/-Tableau13452729313335374951944325[[#This Row],[MONTANT AUTO]]</f>
        <v>#VALUE!</v>
      </c>
      <c r="Q429" s="33"/>
      <c r="R429" s="33"/>
      <c r="S429" s="33"/>
      <c r="T42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29" s="57">
        <f>ABS(Tableau13452729313335374951944325[[#This Row],[MONTANT DEPASSEMENT]]*0.005)</f>
        <v>0</v>
      </c>
      <c r="V429" s="33"/>
      <c r="W429" s="33"/>
      <c r="X429" s="33"/>
      <c r="Y429" s="33"/>
    </row>
    <row r="430" spans="1:25" x14ac:dyDescent="0.25">
      <c r="A430" s="33"/>
      <c r="B430" s="34">
        <v>521</v>
      </c>
      <c r="C430" s="34" t="s">
        <v>611</v>
      </c>
      <c r="D430" s="53" t="s">
        <v>174</v>
      </c>
      <c r="E430" s="53" t="s">
        <v>204</v>
      </c>
      <c r="F430" s="53" t="s">
        <v>205</v>
      </c>
      <c r="G430" s="34" t="s">
        <v>657</v>
      </c>
      <c r="H430" s="34" t="s">
        <v>60</v>
      </c>
      <c r="I430" s="33"/>
      <c r="J430" s="42"/>
      <c r="K430" s="43"/>
      <c r="L430" s="44"/>
      <c r="M43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30" s="38">
        <f>Tableau13452729313335374951944325[[#This Row],[MONTANT OPERATION]]+Tableau13452729313335374951944325[[#This Row],[POS  FUSIONNEE CPTE AVANT OP]]</f>
        <v>0</v>
      </c>
      <c r="O43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30" s="39" t="e">
        <f>Tableau13452729313335374951944325[[#This Row],[DEPASSEMENT TOTAL SUR AUTO
]]/-Tableau13452729313335374951944325[[#This Row],[MONTANT AUTO]]</f>
        <v>#VALUE!</v>
      </c>
      <c r="Q430" s="33"/>
      <c r="R430" s="33"/>
      <c r="S430" s="33"/>
      <c r="T43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30" s="57">
        <f>ABS(Tableau13452729313335374951944325[[#This Row],[MONTANT DEPASSEMENT]]*0.005)</f>
        <v>0</v>
      </c>
      <c r="V430" s="33"/>
      <c r="W430" s="33"/>
      <c r="X430" s="33"/>
      <c r="Y430" s="33"/>
    </row>
    <row r="431" spans="1:25" x14ac:dyDescent="0.25">
      <c r="A431" s="33"/>
      <c r="B431" s="34">
        <v>815</v>
      </c>
      <c r="C431" s="34" t="s">
        <v>652</v>
      </c>
      <c r="D431" s="53" t="s">
        <v>160</v>
      </c>
      <c r="E431" s="53" t="s">
        <v>361</v>
      </c>
      <c r="F431" s="53" t="s">
        <v>256</v>
      </c>
      <c r="G431" s="34" t="s">
        <v>634</v>
      </c>
      <c r="H431" s="34" t="s">
        <v>31</v>
      </c>
      <c r="I431" s="33"/>
      <c r="J431" s="42"/>
      <c r="K431" s="43"/>
      <c r="L431" s="44"/>
      <c r="M43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31" s="38">
        <f>Tableau13452729313335374951944325[[#This Row],[MONTANT OPERATION]]+Tableau13452729313335374951944325[[#This Row],[POS  FUSIONNEE CPTE AVANT OP]]</f>
        <v>0</v>
      </c>
      <c r="O43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31" s="39" t="e">
        <f>Tableau13452729313335374951944325[[#This Row],[DEPASSEMENT TOTAL SUR AUTO
]]/-Tableau13452729313335374951944325[[#This Row],[MONTANT AUTO]]</f>
        <v>#VALUE!</v>
      </c>
      <c r="Q431" s="33"/>
      <c r="R431" s="33"/>
      <c r="S431" s="33"/>
      <c r="T43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31" s="57">
        <f>ABS(Tableau13452729313335374951944325[[#This Row],[MONTANT DEPASSEMENT]]*0.005)</f>
        <v>0</v>
      </c>
      <c r="V431" s="33"/>
      <c r="W431" s="33"/>
      <c r="X431" s="33"/>
      <c r="Y431" s="33"/>
    </row>
    <row r="432" spans="1:25" x14ac:dyDescent="0.25">
      <c r="A432" s="33"/>
      <c r="B432" s="34">
        <v>364</v>
      </c>
      <c r="C432" s="34" t="s">
        <v>683</v>
      </c>
      <c r="D432" s="53" t="s">
        <v>687</v>
      </c>
      <c r="E432" s="53" t="s">
        <v>686</v>
      </c>
      <c r="F432" s="53" t="s">
        <v>682</v>
      </c>
      <c r="G432" s="34" t="s">
        <v>685</v>
      </c>
      <c r="H432" s="34" t="s">
        <v>679</v>
      </c>
      <c r="I432" s="33"/>
      <c r="J432" s="42"/>
      <c r="K432" s="43"/>
      <c r="L432" s="44"/>
      <c r="M43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32" s="38">
        <f>Tableau13452729313335374951944325[[#This Row],[MONTANT OPERATION]]+Tableau13452729313335374951944325[[#This Row],[POS  FUSIONNEE CPTE AVANT OP]]</f>
        <v>0</v>
      </c>
      <c r="O43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32" s="39" t="e">
        <f>Tableau13452729313335374951944325[[#This Row],[DEPASSEMENT TOTAL SUR AUTO
]]/-Tableau13452729313335374951944325[[#This Row],[MONTANT AUTO]]</f>
        <v>#VALUE!</v>
      </c>
      <c r="Q432" s="33"/>
      <c r="R432" s="33"/>
      <c r="S432" s="33"/>
      <c r="T43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32" s="57">
        <f>ABS(Tableau13452729313335374951944325[[#This Row],[MONTANT DEPASSEMENT]]*0.005)</f>
        <v>0</v>
      </c>
      <c r="V432" s="33"/>
      <c r="W432" s="33"/>
      <c r="X432" s="33"/>
      <c r="Y432" s="33"/>
    </row>
    <row r="433" spans="1:25" x14ac:dyDescent="0.25">
      <c r="A433" s="33"/>
      <c r="B433" s="34">
        <v>556</v>
      </c>
      <c r="C433" s="34" t="s">
        <v>639</v>
      </c>
      <c r="D433" s="53" t="s">
        <v>240</v>
      </c>
      <c r="E433" s="53" t="s">
        <v>241</v>
      </c>
      <c r="F433" s="53" t="s">
        <v>242</v>
      </c>
      <c r="G433" s="34" t="s">
        <v>658</v>
      </c>
      <c r="H433" s="34" t="s">
        <v>58</v>
      </c>
      <c r="I433" s="33"/>
      <c r="J433" s="42"/>
      <c r="K433" s="43"/>
      <c r="L433" s="44"/>
      <c r="M43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33" s="38">
        <f>Tableau13452729313335374951944325[[#This Row],[MONTANT OPERATION]]+Tableau13452729313335374951944325[[#This Row],[POS  FUSIONNEE CPTE AVANT OP]]</f>
        <v>0</v>
      </c>
      <c r="O43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33" s="39" t="e">
        <f>Tableau13452729313335374951944325[[#This Row],[DEPASSEMENT TOTAL SUR AUTO
]]/-Tableau13452729313335374951944325[[#This Row],[MONTANT AUTO]]</f>
        <v>#VALUE!</v>
      </c>
      <c r="Q433" s="33"/>
      <c r="R433" s="33"/>
      <c r="S433" s="33"/>
      <c r="T43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33" s="57">
        <f>ABS(Tableau13452729313335374951944325[[#This Row],[MONTANT DEPASSEMENT]]*0.005)</f>
        <v>0</v>
      </c>
      <c r="V433" s="33"/>
      <c r="W433" s="33"/>
      <c r="X433" s="33"/>
      <c r="Y433" s="33"/>
    </row>
    <row r="434" spans="1:25" x14ac:dyDescent="0.25">
      <c r="A434" s="33"/>
      <c r="B434" s="34">
        <v>701</v>
      </c>
      <c r="C434" s="34" t="s">
        <v>652</v>
      </c>
      <c r="D434" s="53" t="s">
        <v>224</v>
      </c>
      <c r="E434" s="53" t="s">
        <v>225</v>
      </c>
      <c r="F434" s="53" t="s">
        <v>220</v>
      </c>
      <c r="G434" s="34" t="s">
        <v>653</v>
      </c>
      <c r="H434" s="34" t="s">
        <v>47</v>
      </c>
      <c r="I434" s="33"/>
      <c r="J434" s="42"/>
      <c r="K434" s="43"/>
      <c r="L434" s="44"/>
      <c r="M43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34" s="38">
        <f>Tableau13452729313335374951944325[[#This Row],[MONTANT OPERATION]]+Tableau13452729313335374951944325[[#This Row],[POS  FUSIONNEE CPTE AVANT OP]]</f>
        <v>0</v>
      </c>
      <c r="O43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34" s="39" t="e">
        <f>Tableau13452729313335374951944325[[#This Row],[DEPASSEMENT TOTAL SUR AUTO
]]/-Tableau13452729313335374951944325[[#This Row],[MONTANT AUTO]]</f>
        <v>#VALUE!</v>
      </c>
      <c r="Q434" s="33"/>
      <c r="R434" s="33"/>
      <c r="S434" s="33"/>
      <c r="T43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34" s="57">
        <f>ABS(Tableau13452729313335374951944325[[#This Row],[MONTANT DEPASSEMENT]]*0.005)</f>
        <v>0</v>
      </c>
      <c r="V434" s="33"/>
      <c r="W434" s="33"/>
      <c r="X434" s="33"/>
      <c r="Y434" s="33"/>
    </row>
    <row r="435" spans="1:25" x14ac:dyDescent="0.25">
      <c r="A435" s="33"/>
      <c r="B435" s="34">
        <v>701</v>
      </c>
      <c r="C435" s="34" t="s">
        <v>652</v>
      </c>
      <c r="D435" s="53" t="s">
        <v>449</v>
      </c>
      <c r="E435" s="53" t="s">
        <v>450</v>
      </c>
      <c r="F435" s="53" t="s">
        <v>210</v>
      </c>
      <c r="G435" s="34" t="s">
        <v>451</v>
      </c>
      <c r="H435" s="34" t="s">
        <v>47</v>
      </c>
      <c r="I435" s="33"/>
      <c r="J435" s="42"/>
      <c r="K435" s="43"/>
      <c r="L435" s="44"/>
      <c r="M43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35" s="38">
        <f>Tableau13452729313335374951944325[[#This Row],[MONTANT OPERATION]]+Tableau13452729313335374951944325[[#This Row],[POS  FUSIONNEE CPTE AVANT OP]]</f>
        <v>0</v>
      </c>
      <c r="O43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35" s="39" t="e">
        <f>Tableau13452729313335374951944325[[#This Row],[DEPASSEMENT TOTAL SUR AUTO
]]/-Tableau13452729313335374951944325[[#This Row],[MONTANT AUTO]]</f>
        <v>#VALUE!</v>
      </c>
      <c r="Q435" s="33"/>
      <c r="R435" s="33"/>
      <c r="S435" s="33"/>
      <c r="T43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35" s="57">
        <f>ABS(Tableau13452729313335374951944325[[#This Row],[MONTANT DEPASSEMENT]]*0.005)</f>
        <v>0</v>
      </c>
      <c r="V435" s="33"/>
      <c r="W435" s="33"/>
      <c r="X435" s="33"/>
      <c r="Y435" s="33"/>
    </row>
    <row r="436" spans="1:25" x14ac:dyDescent="0.25">
      <c r="A436" s="33"/>
      <c r="B436" s="34">
        <v>703</v>
      </c>
      <c r="C436" s="34" t="s">
        <v>453</v>
      </c>
      <c r="D436" s="53" t="s">
        <v>67</v>
      </c>
      <c r="E436" s="53" t="s">
        <v>291</v>
      </c>
      <c r="F436" s="53" t="s">
        <v>292</v>
      </c>
      <c r="G436" s="34" t="s">
        <v>455</v>
      </c>
      <c r="H436" s="34" t="s">
        <v>47</v>
      </c>
      <c r="I436" s="33"/>
      <c r="J436" s="42"/>
      <c r="K436" s="43"/>
      <c r="L436" s="44"/>
      <c r="M43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36" s="38">
        <f>Tableau13452729313335374951944325[[#This Row],[MONTANT OPERATION]]+Tableau13452729313335374951944325[[#This Row],[POS  FUSIONNEE CPTE AVANT OP]]</f>
        <v>0</v>
      </c>
      <c r="O43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36" s="39" t="e">
        <f>Tableau13452729313335374951944325[[#This Row],[DEPASSEMENT TOTAL SUR AUTO
]]/-Tableau13452729313335374951944325[[#This Row],[MONTANT AUTO]]</f>
        <v>#VALUE!</v>
      </c>
      <c r="Q436" s="33"/>
      <c r="R436" s="33"/>
      <c r="S436" s="33"/>
      <c r="T43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36" s="57">
        <f>ABS(Tableau13452729313335374951944325[[#This Row],[MONTANT DEPASSEMENT]]*0.005)</f>
        <v>0</v>
      </c>
      <c r="V436" s="33"/>
      <c r="W436" s="33"/>
      <c r="X436" s="33"/>
      <c r="Y436" s="33"/>
    </row>
    <row r="437" spans="1:25" x14ac:dyDescent="0.25">
      <c r="A437" s="33"/>
      <c r="B437" s="34">
        <v>703</v>
      </c>
      <c r="C437" s="34" t="s">
        <v>453</v>
      </c>
      <c r="D437" s="53" t="s">
        <v>234</v>
      </c>
      <c r="E437" s="53" t="s">
        <v>235</v>
      </c>
      <c r="F437" s="53" t="s">
        <v>202</v>
      </c>
      <c r="G437" s="34" t="s">
        <v>461</v>
      </c>
      <c r="H437" s="34" t="s">
        <v>41</v>
      </c>
      <c r="I437" s="33"/>
      <c r="J437" s="42"/>
      <c r="K437" s="43"/>
      <c r="L437" s="44"/>
      <c r="M43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37" s="38">
        <f>Tableau13452729313335374951944325[[#This Row],[MONTANT OPERATION]]+Tableau13452729313335374951944325[[#This Row],[POS  FUSIONNEE CPTE AVANT OP]]</f>
        <v>0</v>
      </c>
      <c r="O43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37" s="39" t="e">
        <f>Tableau13452729313335374951944325[[#This Row],[DEPASSEMENT TOTAL SUR AUTO
]]/-Tableau13452729313335374951944325[[#This Row],[MONTANT AUTO]]</f>
        <v>#VALUE!</v>
      </c>
      <c r="Q437" s="33"/>
      <c r="R437" s="33"/>
      <c r="S437" s="33"/>
      <c r="T43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37" s="57">
        <f>ABS(Tableau13452729313335374951944325[[#This Row],[MONTANT DEPASSEMENT]]*0.005)</f>
        <v>0</v>
      </c>
      <c r="V437" s="33"/>
      <c r="W437" s="33"/>
      <c r="X437" s="33"/>
      <c r="Y437" s="33"/>
    </row>
    <row r="438" spans="1:25" x14ac:dyDescent="0.25">
      <c r="A438" s="33"/>
      <c r="B438" s="34">
        <v>703</v>
      </c>
      <c r="C438" s="34" t="s">
        <v>453</v>
      </c>
      <c r="D438" s="53" t="s">
        <v>339</v>
      </c>
      <c r="E438" s="53" t="s">
        <v>340</v>
      </c>
      <c r="F438" s="53" t="s">
        <v>49</v>
      </c>
      <c r="G438" s="34" t="s">
        <v>467</v>
      </c>
      <c r="H438" s="34" t="s">
        <v>41</v>
      </c>
      <c r="I438" s="33"/>
      <c r="J438" s="42"/>
      <c r="K438" s="43"/>
      <c r="L438" s="44"/>
      <c r="M43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38" s="38">
        <f>Tableau13452729313335374951944325[[#This Row],[MONTANT OPERATION]]+Tableau13452729313335374951944325[[#This Row],[POS  FUSIONNEE CPTE AVANT OP]]</f>
        <v>0</v>
      </c>
      <c r="O43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38" s="39" t="e">
        <f>Tableau13452729313335374951944325[[#This Row],[DEPASSEMENT TOTAL SUR AUTO
]]/-Tableau13452729313335374951944325[[#This Row],[MONTANT AUTO]]</f>
        <v>#VALUE!</v>
      </c>
      <c r="Q438" s="33"/>
      <c r="R438" s="33"/>
      <c r="S438" s="33"/>
      <c r="T43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38" s="57">
        <f>ABS(Tableau13452729313335374951944325[[#This Row],[MONTANT DEPASSEMENT]]*0.005)</f>
        <v>0</v>
      </c>
      <c r="V438" s="33"/>
      <c r="W438" s="33"/>
      <c r="X438" s="33"/>
      <c r="Y438" s="33"/>
    </row>
    <row r="439" spans="1:25" x14ac:dyDescent="0.25">
      <c r="A439" s="33"/>
      <c r="B439" s="34">
        <v>703</v>
      </c>
      <c r="C439" s="34" t="s">
        <v>453</v>
      </c>
      <c r="D439" s="53" t="s">
        <v>469</v>
      </c>
      <c r="E439" s="53" t="s">
        <v>470</v>
      </c>
      <c r="F439" s="53" t="s">
        <v>304</v>
      </c>
      <c r="G439" s="34" t="s">
        <v>471</v>
      </c>
      <c r="H439" s="34" t="s">
        <v>271</v>
      </c>
      <c r="I439" s="33"/>
      <c r="J439" s="42"/>
      <c r="K439" s="43"/>
      <c r="L439" s="44"/>
      <c r="M43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39" s="38">
        <f>Tableau13452729313335374951944325[[#This Row],[MONTANT OPERATION]]+Tableau13452729313335374951944325[[#This Row],[POS  FUSIONNEE CPTE AVANT OP]]</f>
        <v>0</v>
      </c>
      <c r="O43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39" s="39" t="e">
        <f>Tableau13452729313335374951944325[[#This Row],[DEPASSEMENT TOTAL SUR AUTO
]]/-Tableau13452729313335374951944325[[#This Row],[MONTANT AUTO]]</f>
        <v>#VALUE!</v>
      </c>
      <c r="Q439" s="33"/>
      <c r="R439" s="33"/>
      <c r="S439" s="33"/>
      <c r="T43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39" s="57">
        <f>ABS(Tableau13452729313335374951944325[[#This Row],[MONTANT DEPASSEMENT]]*0.005)</f>
        <v>0</v>
      </c>
      <c r="V439" s="33"/>
      <c r="W439" s="33"/>
      <c r="X439" s="33"/>
      <c r="Y439" s="33"/>
    </row>
    <row r="440" spans="1:25" x14ac:dyDescent="0.25">
      <c r="A440" s="33"/>
      <c r="B440" s="34">
        <v>703</v>
      </c>
      <c r="C440" s="34" t="s">
        <v>453</v>
      </c>
      <c r="D440" s="53" t="s">
        <v>269</v>
      </c>
      <c r="E440" s="53" t="s">
        <v>270</v>
      </c>
      <c r="F440" s="53" t="s">
        <v>205</v>
      </c>
      <c r="G440" s="34" t="s">
        <v>472</v>
      </c>
      <c r="H440" s="34" t="s">
        <v>271</v>
      </c>
      <c r="I440" s="33"/>
      <c r="J440" s="42"/>
      <c r="K440" s="43"/>
      <c r="L440" s="44"/>
      <c r="M44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40" s="38">
        <f>Tableau13452729313335374951944325[[#This Row],[MONTANT OPERATION]]+Tableau13452729313335374951944325[[#This Row],[POS  FUSIONNEE CPTE AVANT OP]]</f>
        <v>0</v>
      </c>
      <c r="O44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40" s="39" t="e">
        <f>Tableau13452729313335374951944325[[#This Row],[DEPASSEMENT TOTAL SUR AUTO
]]/-Tableau13452729313335374951944325[[#This Row],[MONTANT AUTO]]</f>
        <v>#VALUE!</v>
      </c>
      <c r="Q440" s="33"/>
      <c r="R440" s="33"/>
      <c r="S440" s="33"/>
      <c r="T44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40" s="57">
        <f>ABS(Tableau13452729313335374951944325[[#This Row],[MONTANT DEPASSEMENT]]*0.005)</f>
        <v>0</v>
      </c>
      <c r="V440" s="33"/>
      <c r="W440" s="33"/>
      <c r="X440" s="33"/>
      <c r="Y440" s="33"/>
    </row>
    <row r="441" spans="1:25" x14ac:dyDescent="0.25">
      <c r="A441" s="33"/>
      <c r="B441" s="34">
        <v>705</v>
      </c>
      <c r="C441" s="34" t="s">
        <v>429</v>
      </c>
      <c r="D441" s="53" t="s">
        <v>161</v>
      </c>
      <c r="E441" s="53" t="s">
        <v>255</v>
      </c>
      <c r="F441" s="53" t="s">
        <v>256</v>
      </c>
      <c r="G441" s="34" t="s">
        <v>434</v>
      </c>
      <c r="H441" s="34" t="s">
        <v>162</v>
      </c>
      <c r="I441" s="33"/>
      <c r="J441" s="42"/>
      <c r="K441" s="43"/>
      <c r="L441" s="44"/>
      <c r="M44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41" s="38">
        <f>Tableau13452729313335374951944325[[#This Row],[MONTANT OPERATION]]+Tableau13452729313335374951944325[[#This Row],[POS  FUSIONNEE CPTE AVANT OP]]</f>
        <v>0</v>
      </c>
      <c r="O44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41" s="39" t="e">
        <f>Tableau13452729313335374951944325[[#This Row],[DEPASSEMENT TOTAL SUR AUTO
]]/-Tableau13452729313335374951944325[[#This Row],[MONTANT AUTO]]</f>
        <v>#VALUE!</v>
      </c>
      <c r="Q441" s="33"/>
      <c r="R441" s="33"/>
      <c r="S441" s="33"/>
      <c r="T44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41" s="57">
        <f>ABS(Tableau13452729313335374951944325[[#This Row],[MONTANT DEPASSEMENT]]*0.005)</f>
        <v>0</v>
      </c>
      <c r="V441" s="33"/>
      <c r="W441" s="33"/>
      <c r="X441" s="33"/>
      <c r="Y441" s="33"/>
    </row>
    <row r="442" spans="1:25" x14ac:dyDescent="0.25">
      <c r="A442" s="33"/>
      <c r="B442" s="34">
        <v>705</v>
      </c>
      <c r="C442" s="34" t="s">
        <v>429</v>
      </c>
      <c r="D442" s="53" t="s">
        <v>217</v>
      </c>
      <c r="E442" s="53" t="s">
        <v>644</v>
      </c>
      <c r="F442" s="53" t="s">
        <v>89</v>
      </c>
      <c r="G442" s="34" t="s">
        <v>430</v>
      </c>
      <c r="H442" s="34" t="s">
        <v>47</v>
      </c>
      <c r="I442" s="33"/>
      <c r="J442" s="42"/>
      <c r="K442" s="43"/>
      <c r="L442" s="44"/>
      <c r="M44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42" s="38">
        <f>Tableau13452729313335374951944325[[#This Row],[MONTANT OPERATION]]+Tableau13452729313335374951944325[[#This Row],[POS  FUSIONNEE CPTE AVANT OP]]</f>
        <v>0</v>
      </c>
      <c r="O44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42" s="39" t="e">
        <f>Tableau13452729313335374951944325[[#This Row],[DEPASSEMENT TOTAL SUR AUTO
]]/-Tableau13452729313335374951944325[[#This Row],[MONTANT AUTO]]</f>
        <v>#VALUE!</v>
      </c>
      <c r="Q442" s="33"/>
      <c r="R442" s="33"/>
      <c r="S442" s="33"/>
      <c r="T44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42" s="57">
        <f>ABS(Tableau13452729313335374951944325[[#This Row],[MONTANT DEPASSEMENT]]*0.005)</f>
        <v>0</v>
      </c>
      <c r="V442" s="33"/>
      <c r="W442" s="33"/>
      <c r="X442" s="33"/>
      <c r="Y442" s="33"/>
    </row>
    <row r="443" spans="1:25" x14ac:dyDescent="0.25">
      <c r="A443" s="33"/>
      <c r="B443" s="34">
        <v>705</v>
      </c>
      <c r="C443" s="34" t="s">
        <v>429</v>
      </c>
      <c r="D443" s="53" t="s">
        <v>217</v>
      </c>
      <c r="E443" s="53" t="s">
        <v>218</v>
      </c>
      <c r="F443" s="53" t="s">
        <v>219</v>
      </c>
      <c r="G443" s="34" t="s">
        <v>430</v>
      </c>
      <c r="H443" s="34" t="s">
        <v>47</v>
      </c>
      <c r="I443" s="33"/>
      <c r="J443" s="42"/>
      <c r="K443" s="43"/>
      <c r="L443" s="44"/>
      <c r="M44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43" s="38">
        <f>Tableau13452729313335374951944325[[#This Row],[MONTANT OPERATION]]+Tableau13452729313335374951944325[[#This Row],[POS  FUSIONNEE CPTE AVANT OP]]</f>
        <v>0</v>
      </c>
      <c r="O44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43" s="39" t="e">
        <f>Tableau13452729313335374951944325[[#This Row],[DEPASSEMENT TOTAL SUR AUTO
]]/-Tableau13452729313335374951944325[[#This Row],[MONTANT AUTO]]</f>
        <v>#VALUE!</v>
      </c>
      <c r="Q443" s="33"/>
      <c r="R443" s="33"/>
      <c r="S443" s="33"/>
      <c r="T44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43" s="57">
        <f>ABS(Tableau13452729313335374951944325[[#This Row],[MONTANT DEPASSEMENT]]*0.005)</f>
        <v>0</v>
      </c>
      <c r="V443" s="33"/>
      <c r="W443" s="33"/>
      <c r="X443" s="33"/>
      <c r="Y443" s="33"/>
    </row>
    <row r="444" spans="1:25" x14ac:dyDescent="0.25">
      <c r="A444" s="33"/>
      <c r="B444" s="34">
        <v>711</v>
      </c>
      <c r="C444" s="34" t="s">
        <v>427</v>
      </c>
      <c r="D444" s="53" t="s">
        <v>110</v>
      </c>
      <c r="E444" s="53" t="s">
        <v>111</v>
      </c>
      <c r="F444" s="53" t="s">
        <v>192</v>
      </c>
      <c r="G444" s="34" t="s">
        <v>506</v>
      </c>
      <c r="H444" s="34" t="s">
        <v>31</v>
      </c>
      <c r="I444" s="33"/>
      <c r="J444" s="42"/>
      <c r="K444" s="43"/>
      <c r="L444" s="44"/>
      <c r="M44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44" s="38">
        <f>Tableau13452729313335374951944325[[#This Row],[MONTANT OPERATION]]+Tableau13452729313335374951944325[[#This Row],[POS  FUSIONNEE CPTE AVANT OP]]</f>
        <v>0</v>
      </c>
      <c r="O44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44" s="39" t="e">
        <f>Tableau13452729313335374951944325[[#This Row],[DEPASSEMENT TOTAL SUR AUTO
]]/-Tableau13452729313335374951944325[[#This Row],[MONTANT AUTO]]</f>
        <v>#VALUE!</v>
      </c>
      <c r="Q444" s="33"/>
      <c r="R444" s="33"/>
      <c r="S444" s="33"/>
      <c r="T44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44" s="57">
        <f>ABS(Tableau13452729313335374951944325[[#This Row],[MONTANT DEPASSEMENT]]*0.005)</f>
        <v>0</v>
      </c>
      <c r="V444" s="33"/>
      <c r="W444" s="33"/>
      <c r="X444" s="33"/>
      <c r="Y444" s="33"/>
    </row>
    <row r="445" spans="1:25" x14ac:dyDescent="0.25">
      <c r="A445" s="33"/>
      <c r="B445" s="34">
        <v>711</v>
      </c>
      <c r="C445" s="34" t="s">
        <v>427</v>
      </c>
      <c r="D445" s="53" t="s">
        <v>178</v>
      </c>
      <c r="E445" s="53" t="s">
        <v>179</v>
      </c>
      <c r="F445" s="53" t="s">
        <v>203</v>
      </c>
      <c r="G445" s="34" t="s">
        <v>508</v>
      </c>
      <c r="H445" s="34" t="s">
        <v>31</v>
      </c>
      <c r="I445" s="33"/>
      <c r="J445" s="42"/>
      <c r="K445" s="43"/>
      <c r="L445" s="44"/>
      <c r="M44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45" s="38">
        <f>Tableau13452729313335374951944325[[#This Row],[MONTANT OPERATION]]+Tableau13452729313335374951944325[[#This Row],[POS  FUSIONNEE CPTE AVANT OP]]</f>
        <v>0</v>
      </c>
      <c r="O44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45" s="39" t="e">
        <f>Tableau13452729313335374951944325[[#This Row],[DEPASSEMENT TOTAL SUR AUTO
]]/-Tableau13452729313335374951944325[[#This Row],[MONTANT AUTO]]</f>
        <v>#VALUE!</v>
      </c>
      <c r="Q445" s="33"/>
      <c r="R445" s="33"/>
      <c r="S445" s="33"/>
      <c r="T44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45" s="57">
        <f>ABS(Tableau13452729313335374951944325[[#This Row],[MONTANT DEPASSEMENT]]*0.005)</f>
        <v>0</v>
      </c>
      <c r="V445" s="33"/>
      <c r="W445" s="33"/>
      <c r="X445" s="33"/>
      <c r="Y445" s="33"/>
    </row>
    <row r="446" spans="1:25" x14ac:dyDescent="0.25">
      <c r="A446" s="33"/>
      <c r="B446" s="34">
        <v>712</v>
      </c>
      <c r="C446" s="34" t="s">
        <v>431</v>
      </c>
      <c r="D446" s="53" t="s">
        <v>369</v>
      </c>
      <c r="E446" s="53" t="s">
        <v>333</v>
      </c>
      <c r="F446" s="53" t="s">
        <v>26</v>
      </c>
      <c r="G446" s="34" t="s">
        <v>393</v>
      </c>
      <c r="H446" s="34" t="s">
        <v>31</v>
      </c>
      <c r="I446" s="33"/>
      <c r="J446" s="42"/>
      <c r="K446" s="43"/>
      <c r="L446" s="44"/>
      <c r="M44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46" s="38">
        <f>Tableau13452729313335374951944325[[#This Row],[MONTANT OPERATION]]+Tableau13452729313335374951944325[[#This Row],[POS  FUSIONNEE CPTE AVANT OP]]</f>
        <v>0</v>
      </c>
      <c r="O44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46" s="39" t="e">
        <f>Tableau13452729313335374951944325[[#This Row],[DEPASSEMENT TOTAL SUR AUTO
]]/-Tableau13452729313335374951944325[[#This Row],[MONTANT AUTO]]</f>
        <v>#VALUE!</v>
      </c>
      <c r="Q446" s="33"/>
      <c r="R446" s="33"/>
      <c r="S446" s="33"/>
      <c r="T44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46" s="57">
        <f>ABS(Tableau13452729313335374951944325[[#This Row],[MONTANT DEPASSEMENT]]*0.005)</f>
        <v>0</v>
      </c>
      <c r="V446" s="33"/>
      <c r="W446" s="33"/>
      <c r="X446" s="33"/>
      <c r="Y446" s="33"/>
    </row>
    <row r="447" spans="1:25" x14ac:dyDescent="0.25">
      <c r="A447" s="33"/>
      <c r="B447" s="34">
        <v>712</v>
      </c>
      <c r="C447" s="34" t="s">
        <v>431</v>
      </c>
      <c r="D447" s="53" t="s">
        <v>51</v>
      </c>
      <c r="E447" s="53" t="s">
        <v>52</v>
      </c>
      <c r="F447" s="53" t="s">
        <v>102</v>
      </c>
      <c r="G447" s="34" t="s">
        <v>527</v>
      </c>
      <c r="H447" s="34" t="s">
        <v>31</v>
      </c>
      <c r="I447" s="33"/>
      <c r="J447" s="42"/>
      <c r="K447" s="43"/>
      <c r="L447" s="44"/>
      <c r="M44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47" s="38">
        <f>Tableau13452729313335374951944325[[#This Row],[MONTANT OPERATION]]+Tableau13452729313335374951944325[[#This Row],[POS  FUSIONNEE CPTE AVANT OP]]</f>
        <v>0</v>
      </c>
      <c r="O44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47" s="39" t="e">
        <f>Tableau13452729313335374951944325[[#This Row],[DEPASSEMENT TOTAL SUR AUTO
]]/-Tableau13452729313335374951944325[[#This Row],[MONTANT AUTO]]</f>
        <v>#VALUE!</v>
      </c>
      <c r="Q447" s="33"/>
      <c r="R447" s="33"/>
      <c r="S447" s="33"/>
      <c r="T44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47" s="57">
        <f>ABS(Tableau13452729313335374951944325[[#This Row],[MONTANT DEPASSEMENT]]*0.005)</f>
        <v>0</v>
      </c>
      <c r="V447" s="33"/>
      <c r="W447" s="33"/>
      <c r="X447" s="33"/>
      <c r="Y447" s="33"/>
    </row>
    <row r="448" spans="1:25" x14ac:dyDescent="0.25">
      <c r="A448" s="33"/>
      <c r="B448" s="34">
        <v>712</v>
      </c>
      <c r="C448" s="34" t="s">
        <v>431</v>
      </c>
      <c r="D448" s="53" t="s">
        <v>79</v>
      </c>
      <c r="E448" s="53" t="s">
        <v>80</v>
      </c>
      <c r="F448" s="53" t="s">
        <v>81</v>
      </c>
      <c r="G448" s="34" t="s">
        <v>528</v>
      </c>
      <c r="H448" s="34" t="s">
        <v>31</v>
      </c>
      <c r="I448" s="33"/>
      <c r="J448" s="42"/>
      <c r="K448" s="43"/>
      <c r="L448" s="44"/>
      <c r="M44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48" s="38">
        <f>Tableau13452729313335374951944325[[#This Row],[MONTANT OPERATION]]+Tableau13452729313335374951944325[[#This Row],[POS  FUSIONNEE CPTE AVANT OP]]</f>
        <v>0</v>
      </c>
      <c r="O44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48" s="39" t="e">
        <f>Tableau13452729313335374951944325[[#This Row],[DEPASSEMENT TOTAL SUR AUTO
]]/-Tableau13452729313335374951944325[[#This Row],[MONTANT AUTO]]</f>
        <v>#VALUE!</v>
      </c>
      <c r="Q448" s="33"/>
      <c r="R448" s="33"/>
      <c r="S448" s="33"/>
      <c r="T44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48" s="57">
        <f>ABS(Tableau13452729313335374951944325[[#This Row],[MONTANT DEPASSEMENT]]*0.005)</f>
        <v>0</v>
      </c>
      <c r="V448" s="33"/>
      <c r="W448" s="33"/>
      <c r="X448" s="33"/>
      <c r="Y448" s="33"/>
    </row>
    <row r="449" spans="1:25" x14ac:dyDescent="0.25">
      <c r="A449" s="33"/>
      <c r="B449" s="34">
        <v>712</v>
      </c>
      <c r="C449" s="34" t="s">
        <v>431</v>
      </c>
      <c r="D449" s="53" t="s">
        <v>200</v>
      </c>
      <c r="E449" s="53" t="s">
        <v>201</v>
      </c>
      <c r="F449" s="53" t="s">
        <v>202</v>
      </c>
      <c r="G449" s="34" t="s">
        <v>432</v>
      </c>
      <c r="H449" s="34" t="s">
        <v>60</v>
      </c>
      <c r="I449" s="33"/>
      <c r="J449" s="42"/>
      <c r="K449" s="43"/>
      <c r="L449" s="44"/>
      <c r="M44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49" s="38">
        <f>Tableau13452729313335374951944325[[#This Row],[MONTANT OPERATION]]+Tableau13452729313335374951944325[[#This Row],[POS  FUSIONNEE CPTE AVANT OP]]</f>
        <v>0</v>
      </c>
      <c r="O44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49" s="39" t="e">
        <f>Tableau13452729313335374951944325[[#This Row],[DEPASSEMENT TOTAL SUR AUTO
]]/-Tableau13452729313335374951944325[[#This Row],[MONTANT AUTO]]</f>
        <v>#VALUE!</v>
      </c>
      <c r="Q449" s="33"/>
      <c r="R449" s="33"/>
      <c r="S449" s="33"/>
      <c r="T44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49" s="57">
        <f>ABS(Tableau13452729313335374951944325[[#This Row],[MONTANT DEPASSEMENT]]*0.005)</f>
        <v>0</v>
      </c>
      <c r="V449" s="33"/>
      <c r="W449" s="33"/>
      <c r="X449" s="33"/>
      <c r="Y449" s="33"/>
    </row>
    <row r="450" spans="1:25" x14ac:dyDescent="0.25">
      <c r="A450" s="33"/>
      <c r="B450" s="34">
        <v>713</v>
      </c>
      <c r="C450" s="34" t="s">
        <v>433</v>
      </c>
      <c r="D450" s="53" t="s">
        <v>148</v>
      </c>
      <c r="E450" s="53" t="s">
        <v>272</v>
      </c>
      <c r="F450" s="53" t="s">
        <v>250</v>
      </c>
      <c r="G450" s="34" t="s">
        <v>538</v>
      </c>
      <c r="H450" s="34" t="s">
        <v>149</v>
      </c>
      <c r="I450" s="33"/>
      <c r="J450" s="42"/>
      <c r="K450" s="43"/>
      <c r="L450" s="44"/>
      <c r="M45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50" s="38">
        <f>Tableau13452729313335374951944325[[#This Row],[MONTANT OPERATION]]+Tableau13452729313335374951944325[[#This Row],[POS  FUSIONNEE CPTE AVANT OP]]</f>
        <v>0</v>
      </c>
      <c r="O45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50" s="39" t="e">
        <f>Tableau13452729313335374951944325[[#This Row],[DEPASSEMENT TOTAL SUR AUTO
]]/-Tableau13452729313335374951944325[[#This Row],[MONTANT AUTO]]</f>
        <v>#VALUE!</v>
      </c>
      <c r="Q450" s="33"/>
      <c r="R450" s="33"/>
      <c r="S450" s="33"/>
      <c r="T45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50" s="57">
        <f>ABS(Tableau13452729313335374951944325[[#This Row],[MONTANT DEPASSEMENT]]*0.005)</f>
        <v>0</v>
      </c>
      <c r="V450" s="33"/>
      <c r="W450" s="33"/>
      <c r="X450" s="33"/>
      <c r="Y450" s="33"/>
    </row>
    <row r="451" spans="1:25" x14ac:dyDescent="0.25">
      <c r="A451" s="33"/>
      <c r="B451" s="34">
        <v>714</v>
      </c>
      <c r="C451" s="34" t="s">
        <v>435</v>
      </c>
      <c r="D451" s="53" t="s">
        <v>68</v>
      </c>
      <c r="E451" s="53" t="s">
        <v>69</v>
      </c>
      <c r="F451" s="53" t="s">
        <v>267</v>
      </c>
      <c r="G451" s="34" t="s">
        <v>541</v>
      </c>
      <c r="H451" s="34" t="s">
        <v>31</v>
      </c>
      <c r="I451" s="33"/>
      <c r="J451" s="42"/>
      <c r="K451" s="43"/>
      <c r="L451" s="44"/>
      <c r="M45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51" s="38">
        <f>Tableau13452729313335374951944325[[#This Row],[MONTANT OPERATION]]+Tableau13452729313335374951944325[[#This Row],[POS  FUSIONNEE CPTE AVANT OP]]</f>
        <v>0</v>
      </c>
      <c r="O45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51" s="39" t="e">
        <f>Tableau13452729313335374951944325[[#This Row],[DEPASSEMENT TOTAL SUR AUTO
]]/-Tableau13452729313335374951944325[[#This Row],[MONTANT AUTO]]</f>
        <v>#VALUE!</v>
      </c>
      <c r="Q451" s="33"/>
      <c r="R451" s="33"/>
      <c r="S451" s="33"/>
      <c r="T45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51" s="57">
        <f>ABS(Tableau13452729313335374951944325[[#This Row],[MONTANT DEPASSEMENT]]*0.005)</f>
        <v>0</v>
      </c>
      <c r="V451" s="33"/>
      <c r="W451" s="33"/>
      <c r="X451" s="33"/>
      <c r="Y451" s="33"/>
    </row>
    <row r="452" spans="1:25" x14ac:dyDescent="0.25">
      <c r="A452" s="33"/>
      <c r="B452" s="34">
        <v>714</v>
      </c>
      <c r="C452" s="34" t="s">
        <v>435</v>
      </c>
      <c r="D452" s="53" t="s">
        <v>87</v>
      </c>
      <c r="E452" s="53" t="s">
        <v>88</v>
      </c>
      <c r="F452" s="53" t="s">
        <v>89</v>
      </c>
      <c r="G452" s="34" t="s">
        <v>542</v>
      </c>
      <c r="H452" s="34" t="s">
        <v>31</v>
      </c>
      <c r="I452" s="33"/>
      <c r="J452" s="42"/>
      <c r="K452" s="43"/>
      <c r="L452" s="44"/>
      <c r="M45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52" s="38">
        <f>Tableau13452729313335374951944325[[#This Row],[MONTANT OPERATION]]+Tableau13452729313335374951944325[[#This Row],[POS  FUSIONNEE CPTE AVANT OP]]</f>
        <v>0</v>
      </c>
      <c r="O45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52" s="39" t="e">
        <f>Tableau13452729313335374951944325[[#This Row],[DEPASSEMENT TOTAL SUR AUTO
]]/-Tableau13452729313335374951944325[[#This Row],[MONTANT AUTO]]</f>
        <v>#VALUE!</v>
      </c>
      <c r="Q452" s="33"/>
      <c r="R452" s="33"/>
      <c r="S452" s="33"/>
      <c r="T45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52" s="57">
        <f>ABS(Tableau13452729313335374951944325[[#This Row],[MONTANT DEPASSEMENT]]*0.005)</f>
        <v>0</v>
      </c>
      <c r="V452" s="33"/>
      <c r="W452" s="33"/>
      <c r="X452" s="33"/>
      <c r="Y452" s="33"/>
    </row>
    <row r="453" spans="1:25" x14ac:dyDescent="0.25">
      <c r="A453" s="33"/>
      <c r="B453" s="34">
        <v>714</v>
      </c>
      <c r="C453" s="34" t="s">
        <v>435</v>
      </c>
      <c r="D453" s="53" t="s">
        <v>157</v>
      </c>
      <c r="E453" s="53" t="s">
        <v>181</v>
      </c>
      <c r="F453" s="53" t="s">
        <v>158</v>
      </c>
      <c r="G453" s="34" t="s">
        <v>436</v>
      </c>
      <c r="H453" s="34" t="s">
        <v>27</v>
      </c>
      <c r="I453" s="33"/>
      <c r="J453" s="42"/>
      <c r="K453" s="43"/>
      <c r="L453" s="44"/>
      <c r="M45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53" s="38">
        <f>Tableau13452729313335374951944325[[#This Row],[MONTANT OPERATION]]+Tableau13452729313335374951944325[[#This Row],[POS  FUSIONNEE CPTE AVANT OP]]</f>
        <v>0</v>
      </c>
      <c r="O45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53" s="39" t="e">
        <f>Tableau13452729313335374951944325[[#This Row],[DEPASSEMENT TOTAL SUR AUTO
]]/-Tableau13452729313335374951944325[[#This Row],[MONTANT AUTO]]</f>
        <v>#VALUE!</v>
      </c>
      <c r="Q453" s="33"/>
      <c r="R453" s="33"/>
      <c r="S453" s="33"/>
      <c r="T45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53" s="57">
        <f>ABS(Tableau13452729313335374951944325[[#This Row],[MONTANT DEPASSEMENT]]*0.005)</f>
        <v>0</v>
      </c>
      <c r="V453" s="33"/>
      <c r="W453" s="33"/>
      <c r="X453" s="33"/>
      <c r="Y453" s="33"/>
    </row>
    <row r="454" spans="1:25" x14ac:dyDescent="0.25">
      <c r="A454" s="33"/>
      <c r="B454" s="34">
        <v>714</v>
      </c>
      <c r="C454" s="34" t="s">
        <v>435</v>
      </c>
      <c r="D454" s="53" t="s">
        <v>248</v>
      </c>
      <c r="E454" s="53" t="s">
        <v>249</v>
      </c>
      <c r="F454" s="53" t="s">
        <v>250</v>
      </c>
      <c r="G454" s="34" t="s">
        <v>655</v>
      </c>
      <c r="H454" s="34" t="s">
        <v>27</v>
      </c>
      <c r="I454" s="33"/>
      <c r="J454" s="42"/>
      <c r="K454" s="43"/>
      <c r="L454" s="44"/>
      <c r="M45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54" s="38">
        <f>Tableau13452729313335374951944325[[#This Row],[MONTANT OPERATION]]+Tableau13452729313335374951944325[[#This Row],[POS  FUSIONNEE CPTE AVANT OP]]</f>
        <v>0</v>
      </c>
      <c r="O45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54" s="39" t="e">
        <f>Tableau13452729313335374951944325[[#This Row],[DEPASSEMENT TOTAL SUR AUTO
]]/-Tableau13452729313335374951944325[[#This Row],[MONTANT AUTO]]</f>
        <v>#VALUE!</v>
      </c>
      <c r="Q454" s="33"/>
      <c r="R454" s="33"/>
      <c r="S454" s="33"/>
      <c r="T45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54" s="57">
        <f>ABS(Tableau13452729313335374951944325[[#This Row],[MONTANT DEPASSEMENT]]*0.005)</f>
        <v>0</v>
      </c>
      <c r="V454" s="33"/>
      <c r="W454" s="33"/>
      <c r="X454" s="33"/>
      <c r="Y454" s="33"/>
    </row>
    <row r="455" spans="1:25" x14ac:dyDescent="0.25">
      <c r="A455" s="33"/>
      <c r="B455" s="34">
        <v>714</v>
      </c>
      <c r="C455" s="34" t="s">
        <v>435</v>
      </c>
      <c r="D455" s="53" t="s">
        <v>114</v>
      </c>
      <c r="E455" s="53" t="s">
        <v>115</v>
      </c>
      <c r="F455" s="53" t="s">
        <v>26</v>
      </c>
      <c r="G455" s="34" t="s">
        <v>547</v>
      </c>
      <c r="H455" s="34" t="s">
        <v>27</v>
      </c>
      <c r="I455" s="33"/>
      <c r="J455" s="42"/>
      <c r="K455" s="43"/>
      <c r="L455" s="44"/>
      <c r="M45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55" s="38">
        <f>Tableau13452729313335374951944325[[#This Row],[MONTANT OPERATION]]+Tableau13452729313335374951944325[[#This Row],[POS  FUSIONNEE CPTE AVANT OP]]</f>
        <v>0</v>
      </c>
      <c r="O45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55" s="39" t="e">
        <f>Tableau13452729313335374951944325[[#This Row],[DEPASSEMENT TOTAL SUR AUTO
]]/-Tableau13452729313335374951944325[[#This Row],[MONTANT AUTO]]</f>
        <v>#VALUE!</v>
      </c>
      <c r="Q455" s="33"/>
      <c r="R455" s="33"/>
      <c r="S455" s="33"/>
      <c r="T45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55" s="57">
        <f>ABS(Tableau13452729313335374951944325[[#This Row],[MONTANT DEPASSEMENT]]*0.005)</f>
        <v>0</v>
      </c>
      <c r="V455" s="33"/>
      <c r="W455" s="33"/>
      <c r="X455" s="33"/>
      <c r="Y455" s="33"/>
    </row>
    <row r="456" spans="1:25" x14ac:dyDescent="0.25">
      <c r="A456" s="33"/>
      <c r="B456" s="34">
        <v>714</v>
      </c>
      <c r="C456" s="34" t="s">
        <v>435</v>
      </c>
      <c r="D456" s="53" t="s">
        <v>315</v>
      </c>
      <c r="E456" s="53" t="s">
        <v>316</v>
      </c>
      <c r="F456" s="53" t="s">
        <v>266</v>
      </c>
      <c r="G456" s="34" t="s">
        <v>659</v>
      </c>
      <c r="H456" s="34" t="s">
        <v>27</v>
      </c>
      <c r="I456" s="33"/>
      <c r="J456" s="42"/>
      <c r="K456" s="43"/>
      <c r="L456" s="44"/>
      <c r="M45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56" s="38">
        <f>Tableau13452729313335374951944325[[#This Row],[MONTANT OPERATION]]+Tableau13452729313335374951944325[[#This Row],[POS  FUSIONNEE CPTE AVANT OP]]</f>
        <v>0</v>
      </c>
      <c r="O45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56" s="39" t="e">
        <f>Tableau13452729313335374951944325[[#This Row],[DEPASSEMENT TOTAL SUR AUTO
]]/-Tableau13452729313335374951944325[[#This Row],[MONTANT AUTO]]</f>
        <v>#VALUE!</v>
      </c>
      <c r="Q456" s="33"/>
      <c r="R456" s="33"/>
      <c r="S456" s="33"/>
      <c r="T45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56" s="57">
        <f>ABS(Tableau13452729313335374951944325[[#This Row],[MONTANT DEPASSEMENT]]*0.005)</f>
        <v>0</v>
      </c>
      <c r="V456" s="33"/>
      <c r="W456" s="33"/>
      <c r="X456" s="33"/>
      <c r="Y456" s="33"/>
    </row>
    <row r="457" spans="1:25" x14ac:dyDescent="0.25">
      <c r="A457" s="33"/>
      <c r="B457" s="34">
        <v>714</v>
      </c>
      <c r="C457" s="34" t="s">
        <v>435</v>
      </c>
      <c r="D457" s="53" t="s">
        <v>257</v>
      </c>
      <c r="E457" s="53" t="s">
        <v>258</v>
      </c>
      <c r="F457" s="53" t="s">
        <v>259</v>
      </c>
      <c r="G457" s="34" t="s">
        <v>437</v>
      </c>
      <c r="H457" s="34" t="s">
        <v>27</v>
      </c>
      <c r="I457" s="33"/>
      <c r="J457" s="42"/>
      <c r="K457" s="43"/>
      <c r="L457" s="44"/>
      <c r="M45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57" s="38">
        <f>Tableau13452729313335374951944325[[#This Row],[MONTANT OPERATION]]+Tableau13452729313335374951944325[[#This Row],[POS  FUSIONNEE CPTE AVANT OP]]</f>
        <v>0</v>
      </c>
      <c r="O45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57" s="39" t="e">
        <f>Tableau13452729313335374951944325[[#This Row],[DEPASSEMENT TOTAL SUR AUTO
]]/-Tableau13452729313335374951944325[[#This Row],[MONTANT AUTO]]</f>
        <v>#VALUE!</v>
      </c>
      <c r="Q457" s="33"/>
      <c r="R457" s="33"/>
      <c r="S457" s="33"/>
      <c r="T45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57" s="57">
        <f>ABS(Tableau13452729313335374951944325[[#This Row],[MONTANT DEPASSEMENT]]*0.005)</f>
        <v>0</v>
      </c>
      <c r="V457" s="33"/>
      <c r="W457" s="33"/>
      <c r="X457" s="33"/>
      <c r="Y457" s="33"/>
    </row>
    <row r="458" spans="1:25" x14ac:dyDescent="0.25">
      <c r="A458" s="33"/>
      <c r="B458" s="34">
        <v>715</v>
      </c>
      <c r="C458" s="34" t="s">
        <v>439</v>
      </c>
      <c r="D458" s="53" t="s">
        <v>263</v>
      </c>
      <c r="E458" s="53" t="s">
        <v>264</v>
      </c>
      <c r="F458" s="53" t="s">
        <v>265</v>
      </c>
      <c r="G458" s="34" t="s">
        <v>512</v>
      </c>
      <c r="H458" s="34" t="s">
        <v>31</v>
      </c>
      <c r="I458" s="33"/>
      <c r="J458" s="42"/>
      <c r="K458" s="43"/>
      <c r="L458" s="44"/>
      <c r="M45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58" s="38">
        <f>Tableau13452729313335374951944325[[#This Row],[MONTANT OPERATION]]+Tableau13452729313335374951944325[[#This Row],[POS  FUSIONNEE CPTE AVANT OP]]</f>
        <v>0</v>
      </c>
      <c r="O45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58" s="39" t="e">
        <f>Tableau13452729313335374951944325[[#This Row],[DEPASSEMENT TOTAL SUR AUTO
]]/-Tableau13452729313335374951944325[[#This Row],[MONTANT AUTO]]</f>
        <v>#VALUE!</v>
      </c>
      <c r="Q458" s="33"/>
      <c r="R458" s="33"/>
      <c r="S458" s="33"/>
      <c r="T45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58" s="57">
        <f>ABS(Tableau13452729313335374951944325[[#This Row],[MONTANT DEPASSEMENT]]*0.005)</f>
        <v>0</v>
      </c>
      <c r="V458" s="33"/>
      <c r="W458" s="33"/>
      <c r="X458" s="33"/>
      <c r="Y458" s="33"/>
    </row>
    <row r="459" spans="1:25" x14ac:dyDescent="0.25">
      <c r="A459" s="33"/>
      <c r="B459" s="34">
        <v>715</v>
      </c>
      <c r="C459" s="34" t="s">
        <v>439</v>
      </c>
      <c r="D459" s="53" t="s">
        <v>183</v>
      </c>
      <c r="E459" s="53" t="s">
        <v>113</v>
      </c>
      <c r="F459" s="53" t="s">
        <v>184</v>
      </c>
      <c r="G459" s="34" t="s">
        <v>441</v>
      </c>
      <c r="H459" s="34" t="s">
        <v>27</v>
      </c>
      <c r="I459" s="33"/>
      <c r="J459" s="42"/>
      <c r="K459" s="43"/>
      <c r="L459" s="44"/>
      <c r="M45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59" s="38">
        <f>Tableau13452729313335374951944325[[#This Row],[MONTANT OPERATION]]+Tableau13452729313335374951944325[[#This Row],[POS  FUSIONNEE CPTE AVANT OP]]</f>
        <v>0</v>
      </c>
      <c r="O45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59" s="39" t="e">
        <f>Tableau13452729313335374951944325[[#This Row],[DEPASSEMENT TOTAL SUR AUTO
]]/-Tableau13452729313335374951944325[[#This Row],[MONTANT AUTO]]</f>
        <v>#VALUE!</v>
      </c>
      <c r="Q459" s="33"/>
      <c r="R459" s="33"/>
      <c r="S459" s="33"/>
      <c r="T45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59" s="57">
        <f>ABS(Tableau13452729313335374951944325[[#This Row],[MONTANT DEPASSEMENT]]*0.005)</f>
        <v>0</v>
      </c>
      <c r="V459" s="33"/>
      <c r="W459" s="33"/>
      <c r="X459" s="33"/>
      <c r="Y459" s="33"/>
    </row>
    <row r="460" spans="1:25" x14ac:dyDescent="0.25">
      <c r="A460" s="33"/>
      <c r="B460" s="34">
        <v>716</v>
      </c>
      <c r="C460" s="34" t="s">
        <v>563</v>
      </c>
      <c r="D460" s="53" t="s">
        <v>153</v>
      </c>
      <c r="E460" s="53" t="s">
        <v>154</v>
      </c>
      <c r="F460" s="53" t="s">
        <v>191</v>
      </c>
      <c r="G460" s="34" t="s">
        <v>564</v>
      </c>
      <c r="H460" s="34" t="s">
        <v>31</v>
      </c>
      <c r="I460" s="33"/>
      <c r="J460" s="42"/>
      <c r="K460" s="43"/>
      <c r="L460" s="44"/>
      <c r="M46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60" s="38">
        <f>Tableau13452729313335374951944325[[#This Row],[MONTANT OPERATION]]+Tableau13452729313335374951944325[[#This Row],[POS  FUSIONNEE CPTE AVANT OP]]</f>
        <v>0</v>
      </c>
      <c r="O46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60" s="39" t="e">
        <f>Tableau13452729313335374951944325[[#This Row],[DEPASSEMENT TOTAL SUR AUTO
]]/-Tableau13452729313335374951944325[[#This Row],[MONTANT AUTO]]</f>
        <v>#VALUE!</v>
      </c>
      <c r="Q460" s="33"/>
      <c r="R460" s="33"/>
      <c r="S460" s="33"/>
      <c r="T46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60" s="57">
        <f>ABS(Tableau13452729313335374951944325[[#This Row],[MONTANT DEPASSEMENT]]*0.005)</f>
        <v>0</v>
      </c>
      <c r="V460" s="33"/>
      <c r="W460" s="33"/>
      <c r="X460" s="33"/>
      <c r="Y460" s="33"/>
    </row>
    <row r="461" spans="1:25" x14ac:dyDescent="0.25">
      <c r="A461" s="33"/>
      <c r="B461" s="34">
        <v>716</v>
      </c>
      <c r="C461" s="34" t="s">
        <v>563</v>
      </c>
      <c r="D461" s="53" t="s">
        <v>109</v>
      </c>
      <c r="E461" s="53" t="s">
        <v>208</v>
      </c>
      <c r="F461" s="53" t="s">
        <v>205</v>
      </c>
      <c r="G461" s="34" t="s">
        <v>565</v>
      </c>
      <c r="H461" s="34" t="s">
        <v>60</v>
      </c>
      <c r="I461" s="33"/>
      <c r="J461" s="42"/>
      <c r="K461" s="43"/>
      <c r="L461" s="44"/>
      <c r="M46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61" s="38">
        <f>Tableau13452729313335374951944325[[#This Row],[MONTANT OPERATION]]+Tableau13452729313335374951944325[[#This Row],[POS  FUSIONNEE CPTE AVANT OP]]</f>
        <v>0</v>
      </c>
      <c r="O46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61" s="39" t="e">
        <f>Tableau13452729313335374951944325[[#This Row],[DEPASSEMENT TOTAL SUR AUTO
]]/-Tableau13452729313335374951944325[[#This Row],[MONTANT AUTO]]</f>
        <v>#VALUE!</v>
      </c>
      <c r="Q461" s="33"/>
      <c r="R461" s="33"/>
      <c r="S461" s="33"/>
      <c r="T46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61" s="57">
        <f>ABS(Tableau13452729313335374951944325[[#This Row],[MONTANT DEPASSEMENT]]*0.005)</f>
        <v>0</v>
      </c>
      <c r="V461" s="33"/>
      <c r="W461" s="33"/>
      <c r="X461" s="33"/>
      <c r="Y461" s="33"/>
    </row>
    <row r="462" spans="1:25" x14ac:dyDescent="0.25">
      <c r="A462" s="33"/>
      <c r="B462" s="34">
        <v>716</v>
      </c>
      <c r="C462" s="34" t="s">
        <v>563</v>
      </c>
      <c r="D462" s="53" t="s">
        <v>289</v>
      </c>
      <c r="E462" s="53" t="s">
        <v>298</v>
      </c>
      <c r="F462" s="53" t="s">
        <v>290</v>
      </c>
      <c r="G462" s="34" t="s">
        <v>566</v>
      </c>
      <c r="H462" s="34" t="s">
        <v>27</v>
      </c>
      <c r="I462" s="33"/>
      <c r="J462" s="42"/>
      <c r="K462" s="43"/>
      <c r="L462" s="44"/>
      <c r="M46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62" s="38">
        <f>Tableau13452729313335374951944325[[#This Row],[MONTANT OPERATION]]+Tableau13452729313335374951944325[[#This Row],[POS  FUSIONNEE CPTE AVANT OP]]</f>
        <v>0</v>
      </c>
      <c r="O46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62" s="39" t="e">
        <f>Tableau13452729313335374951944325[[#This Row],[DEPASSEMENT TOTAL SUR AUTO
]]/-Tableau13452729313335374951944325[[#This Row],[MONTANT AUTO]]</f>
        <v>#VALUE!</v>
      </c>
      <c r="Q462" s="33"/>
      <c r="R462" s="33"/>
      <c r="S462" s="33"/>
      <c r="T46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62" s="57">
        <f>ABS(Tableau13452729313335374951944325[[#This Row],[MONTANT DEPASSEMENT]]*0.005)</f>
        <v>0</v>
      </c>
      <c r="V462" s="33"/>
      <c r="W462" s="33"/>
      <c r="X462" s="33"/>
      <c r="Y462" s="33"/>
    </row>
    <row r="463" spans="1:25" x14ac:dyDescent="0.25">
      <c r="A463" s="33"/>
      <c r="B463" s="34">
        <v>718</v>
      </c>
      <c r="C463" s="34" t="s">
        <v>462</v>
      </c>
      <c r="D463" s="53" t="s">
        <v>65</v>
      </c>
      <c r="E463" s="53" t="s">
        <v>66</v>
      </c>
      <c r="F463" s="53" t="s">
        <v>192</v>
      </c>
      <c r="G463" s="34" t="s">
        <v>513</v>
      </c>
      <c r="H463" s="34" t="s">
        <v>31</v>
      </c>
      <c r="I463" s="33"/>
      <c r="J463" s="42"/>
      <c r="K463" s="43"/>
      <c r="L463" s="44"/>
      <c r="M46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63" s="38">
        <f>Tableau13452729313335374951944325[[#This Row],[MONTANT OPERATION]]+Tableau13452729313335374951944325[[#This Row],[POS  FUSIONNEE CPTE AVANT OP]]</f>
        <v>0</v>
      </c>
      <c r="O46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63" s="39" t="e">
        <f>Tableau13452729313335374951944325[[#This Row],[DEPASSEMENT TOTAL SUR AUTO
]]/-Tableau13452729313335374951944325[[#This Row],[MONTANT AUTO]]</f>
        <v>#VALUE!</v>
      </c>
      <c r="Q463" s="33"/>
      <c r="R463" s="33"/>
      <c r="S463" s="33"/>
      <c r="T46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63" s="57">
        <f>ABS(Tableau13452729313335374951944325[[#This Row],[MONTANT DEPASSEMENT]]*0.005)</f>
        <v>0</v>
      </c>
      <c r="V463" s="33"/>
      <c r="W463" s="33"/>
      <c r="X463" s="33"/>
      <c r="Y463" s="33"/>
    </row>
    <row r="464" spans="1:25" x14ac:dyDescent="0.25">
      <c r="A464" s="33"/>
      <c r="B464" s="34">
        <v>718</v>
      </c>
      <c r="C464" s="34" t="s">
        <v>462</v>
      </c>
      <c r="D464" s="53" t="s">
        <v>170</v>
      </c>
      <c r="E464" s="53" t="s">
        <v>283</v>
      </c>
      <c r="F464" s="53" t="s">
        <v>284</v>
      </c>
      <c r="G464" s="34" t="s">
        <v>569</v>
      </c>
      <c r="H464" s="34" t="s">
        <v>60</v>
      </c>
      <c r="I464" s="33"/>
      <c r="J464" s="42"/>
      <c r="K464" s="43"/>
      <c r="L464" s="44"/>
      <c r="M46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64" s="38">
        <f>Tableau13452729313335374951944325[[#This Row],[MONTANT OPERATION]]+Tableau13452729313335374951944325[[#This Row],[POS  FUSIONNEE CPTE AVANT OP]]</f>
        <v>0</v>
      </c>
      <c r="O46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64" s="39" t="e">
        <f>Tableau13452729313335374951944325[[#This Row],[DEPASSEMENT TOTAL SUR AUTO
]]/-Tableau13452729313335374951944325[[#This Row],[MONTANT AUTO]]</f>
        <v>#VALUE!</v>
      </c>
      <c r="Q464" s="33"/>
      <c r="R464" s="33"/>
      <c r="S464" s="33"/>
      <c r="T46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64" s="57">
        <f>ABS(Tableau13452729313335374951944325[[#This Row],[MONTANT DEPASSEMENT]]*0.005)</f>
        <v>0</v>
      </c>
      <c r="V464" s="33"/>
      <c r="W464" s="33"/>
      <c r="X464" s="33"/>
      <c r="Y464" s="33"/>
    </row>
    <row r="465" spans="1:25" x14ac:dyDescent="0.25">
      <c r="A465" s="33"/>
      <c r="B465" s="34">
        <v>718</v>
      </c>
      <c r="C465" s="34" t="s">
        <v>462</v>
      </c>
      <c r="D465" s="53" t="s">
        <v>277</v>
      </c>
      <c r="E465" s="53" t="s">
        <v>278</v>
      </c>
      <c r="F465" s="53" t="s">
        <v>279</v>
      </c>
      <c r="G465" s="34" t="s">
        <v>660</v>
      </c>
      <c r="H465" s="34" t="s">
        <v>60</v>
      </c>
      <c r="I465" s="33"/>
      <c r="J465" s="42"/>
      <c r="K465" s="43"/>
      <c r="L465" s="44"/>
      <c r="M46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65" s="38">
        <f>Tableau13452729313335374951944325[[#This Row],[MONTANT OPERATION]]+Tableau13452729313335374951944325[[#This Row],[POS  FUSIONNEE CPTE AVANT OP]]</f>
        <v>0</v>
      </c>
      <c r="O46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65" s="39" t="e">
        <f>Tableau13452729313335374951944325[[#This Row],[DEPASSEMENT TOTAL SUR AUTO
]]/-Tableau13452729313335374951944325[[#This Row],[MONTANT AUTO]]</f>
        <v>#VALUE!</v>
      </c>
      <c r="Q465" s="33"/>
      <c r="R465" s="33"/>
      <c r="S465" s="33"/>
      <c r="T46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65" s="57">
        <f>ABS(Tableau13452729313335374951944325[[#This Row],[MONTANT DEPASSEMENT]]*0.005)</f>
        <v>0</v>
      </c>
      <c r="V465" s="33"/>
      <c r="W465" s="33"/>
      <c r="X465" s="33"/>
      <c r="Y465" s="33"/>
    </row>
    <row r="466" spans="1:25" x14ac:dyDescent="0.25">
      <c r="A466" s="33"/>
      <c r="B466" s="34">
        <v>718</v>
      </c>
      <c r="C466" s="34" t="s">
        <v>462</v>
      </c>
      <c r="D466" s="53" t="s">
        <v>75</v>
      </c>
      <c r="E466" s="53" t="s">
        <v>76</v>
      </c>
      <c r="F466" s="53" t="s">
        <v>77</v>
      </c>
      <c r="G466" s="34" t="s">
        <v>571</v>
      </c>
      <c r="H466" s="34" t="s">
        <v>31</v>
      </c>
      <c r="I466" s="33"/>
      <c r="J466" s="42"/>
      <c r="K466" s="43"/>
      <c r="L466" s="44"/>
      <c r="M46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66" s="38">
        <f>Tableau13452729313335374951944325[[#This Row],[MONTANT OPERATION]]+Tableau13452729313335374951944325[[#This Row],[POS  FUSIONNEE CPTE AVANT OP]]</f>
        <v>0</v>
      </c>
      <c r="O46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66" s="39" t="e">
        <f>Tableau13452729313335374951944325[[#This Row],[DEPASSEMENT TOTAL SUR AUTO
]]/-Tableau13452729313335374951944325[[#This Row],[MONTANT AUTO]]</f>
        <v>#VALUE!</v>
      </c>
      <c r="Q466" s="33"/>
      <c r="R466" s="33"/>
      <c r="S466" s="33"/>
      <c r="T46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66" s="57">
        <f>ABS(Tableau13452729313335374951944325[[#This Row],[MONTANT DEPASSEMENT]]*0.005)</f>
        <v>0</v>
      </c>
      <c r="V466" s="33"/>
      <c r="W466" s="33"/>
      <c r="X466" s="33"/>
      <c r="Y466" s="33"/>
    </row>
    <row r="467" spans="1:25" x14ac:dyDescent="0.25">
      <c r="A467" s="33"/>
      <c r="B467" s="34">
        <v>718</v>
      </c>
      <c r="C467" s="34" t="s">
        <v>462</v>
      </c>
      <c r="D467" s="53" t="s">
        <v>285</v>
      </c>
      <c r="E467" s="53" t="s">
        <v>286</v>
      </c>
      <c r="F467" s="53" t="s">
        <v>199</v>
      </c>
      <c r="G467" s="34" t="s">
        <v>661</v>
      </c>
      <c r="H467" s="34" t="s">
        <v>31</v>
      </c>
      <c r="I467" s="33"/>
      <c r="J467" s="42"/>
      <c r="K467" s="43"/>
      <c r="L467" s="44"/>
      <c r="M46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67" s="38">
        <f>Tableau13452729313335374951944325[[#This Row],[MONTANT OPERATION]]+Tableau13452729313335374951944325[[#This Row],[POS  FUSIONNEE CPTE AVANT OP]]</f>
        <v>0</v>
      </c>
      <c r="O46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67" s="39" t="e">
        <f>Tableau13452729313335374951944325[[#This Row],[DEPASSEMENT TOTAL SUR AUTO
]]/-Tableau13452729313335374951944325[[#This Row],[MONTANT AUTO]]</f>
        <v>#VALUE!</v>
      </c>
      <c r="Q467" s="33"/>
      <c r="R467" s="33"/>
      <c r="S467" s="33"/>
      <c r="T46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67" s="57">
        <f>ABS(Tableau13452729313335374951944325[[#This Row],[MONTANT DEPASSEMENT]]*0.005)</f>
        <v>0</v>
      </c>
      <c r="V467" s="33"/>
      <c r="W467" s="33"/>
      <c r="X467" s="33"/>
      <c r="Y467" s="33"/>
    </row>
    <row r="468" spans="1:25" x14ac:dyDescent="0.25">
      <c r="A468" s="33"/>
      <c r="B468" s="34">
        <v>718</v>
      </c>
      <c r="C468" s="34" t="s">
        <v>462</v>
      </c>
      <c r="D468" s="53" t="s">
        <v>193</v>
      </c>
      <c r="E468" s="53" t="s">
        <v>55</v>
      </c>
      <c r="F468" s="53" t="s">
        <v>92</v>
      </c>
      <c r="G468" s="34" t="s">
        <v>648</v>
      </c>
      <c r="H468" s="34" t="s">
        <v>27</v>
      </c>
      <c r="I468" s="33"/>
      <c r="J468" s="42"/>
      <c r="K468" s="43"/>
      <c r="L468" s="44"/>
      <c r="M46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68" s="38">
        <f>Tableau13452729313335374951944325[[#This Row],[MONTANT OPERATION]]+Tableau13452729313335374951944325[[#This Row],[POS  FUSIONNEE CPTE AVANT OP]]</f>
        <v>0</v>
      </c>
      <c r="O46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68" s="39" t="e">
        <f>Tableau13452729313335374951944325[[#This Row],[DEPASSEMENT TOTAL SUR AUTO
]]/-Tableau13452729313335374951944325[[#This Row],[MONTANT AUTO]]</f>
        <v>#VALUE!</v>
      </c>
      <c r="Q468" s="33"/>
      <c r="R468" s="33"/>
      <c r="S468" s="33"/>
      <c r="T46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68" s="57">
        <f>ABS(Tableau13452729313335374951944325[[#This Row],[MONTANT DEPASSEMENT]]*0.005)</f>
        <v>0</v>
      </c>
      <c r="V468" s="33"/>
      <c r="W468" s="33"/>
      <c r="X468" s="33"/>
      <c r="Y468" s="33"/>
    </row>
    <row r="469" spans="1:25" x14ac:dyDescent="0.25">
      <c r="A469" s="33"/>
      <c r="B469" s="34">
        <v>718</v>
      </c>
      <c r="C469" s="34" t="s">
        <v>462</v>
      </c>
      <c r="D469" s="53" t="s">
        <v>280</v>
      </c>
      <c r="E469" s="53" t="s">
        <v>281</v>
      </c>
      <c r="F469" s="53" t="s">
        <v>282</v>
      </c>
      <c r="G469" s="34" t="s">
        <v>662</v>
      </c>
      <c r="H469" s="34" t="s">
        <v>31</v>
      </c>
      <c r="I469" s="33"/>
      <c r="J469" s="42"/>
      <c r="K469" s="43"/>
      <c r="L469" s="44"/>
      <c r="M46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69" s="38">
        <f>Tableau13452729313335374951944325[[#This Row],[MONTANT OPERATION]]+Tableau13452729313335374951944325[[#This Row],[POS  FUSIONNEE CPTE AVANT OP]]</f>
        <v>0</v>
      </c>
      <c r="O46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69" s="39" t="e">
        <f>Tableau13452729313335374951944325[[#This Row],[DEPASSEMENT TOTAL SUR AUTO
]]/-Tableau13452729313335374951944325[[#This Row],[MONTANT AUTO]]</f>
        <v>#VALUE!</v>
      </c>
      <c r="Q469" s="33"/>
      <c r="R469" s="33"/>
      <c r="S469" s="33"/>
      <c r="T46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69" s="57">
        <f>ABS(Tableau13452729313335374951944325[[#This Row],[MONTANT DEPASSEMENT]]*0.005)</f>
        <v>0</v>
      </c>
      <c r="V469" s="33"/>
      <c r="W469" s="33"/>
      <c r="X469" s="33"/>
      <c r="Y469" s="33"/>
    </row>
    <row r="470" spans="1:25" x14ac:dyDescent="0.25">
      <c r="A470" s="33"/>
      <c r="B470" s="34">
        <v>505</v>
      </c>
      <c r="C470" s="34" t="s">
        <v>579</v>
      </c>
      <c r="D470" s="53" t="s">
        <v>663</v>
      </c>
      <c r="E470" s="53" t="s">
        <v>664</v>
      </c>
      <c r="F470" s="53" t="s">
        <v>303</v>
      </c>
      <c r="G470" s="34" t="s">
        <v>665</v>
      </c>
      <c r="H470" s="34" t="s">
        <v>31</v>
      </c>
      <c r="I470" s="33"/>
      <c r="J470" s="42"/>
      <c r="K470" s="43"/>
      <c r="L470" s="44"/>
      <c r="M47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70" s="38">
        <f>Tableau13452729313335374951944325[[#This Row],[MONTANT OPERATION]]+Tableau13452729313335374951944325[[#This Row],[POS  FUSIONNEE CPTE AVANT OP]]</f>
        <v>0</v>
      </c>
      <c r="O47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70" s="39" t="e">
        <f>Tableau13452729313335374951944325[[#This Row],[DEPASSEMENT TOTAL SUR AUTO
]]/-Tableau13452729313335374951944325[[#This Row],[MONTANT AUTO]]</f>
        <v>#VALUE!</v>
      </c>
      <c r="Q470" s="33"/>
      <c r="R470" s="33"/>
      <c r="S470" s="33"/>
      <c r="T47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70" s="57">
        <f>ABS(Tableau13452729313335374951944325[[#This Row],[MONTANT DEPASSEMENT]]*0.005)</f>
        <v>0</v>
      </c>
      <c r="V470" s="33"/>
      <c r="W470" s="33"/>
      <c r="X470" s="33"/>
      <c r="Y470" s="33"/>
    </row>
    <row r="471" spans="1:25" x14ac:dyDescent="0.25">
      <c r="A471" s="33"/>
      <c r="B471" s="34">
        <v>800</v>
      </c>
      <c r="C471" s="34" t="s">
        <v>444</v>
      </c>
      <c r="D471" s="53" t="s">
        <v>73</v>
      </c>
      <c r="E471" s="53" t="s">
        <v>74</v>
      </c>
      <c r="F471" s="53" t="s">
        <v>330</v>
      </c>
      <c r="G471" s="34" t="s">
        <v>592</v>
      </c>
      <c r="H471" s="34" t="s">
        <v>31</v>
      </c>
      <c r="I471" s="33"/>
      <c r="J471" s="42"/>
      <c r="K471" s="43"/>
      <c r="L471" s="44"/>
      <c r="M47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71" s="38">
        <f>Tableau13452729313335374951944325[[#This Row],[MONTANT OPERATION]]+Tableau13452729313335374951944325[[#This Row],[POS  FUSIONNEE CPTE AVANT OP]]</f>
        <v>0</v>
      </c>
      <c r="O47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71" s="39" t="e">
        <f>Tableau13452729313335374951944325[[#This Row],[DEPASSEMENT TOTAL SUR AUTO
]]/-Tableau13452729313335374951944325[[#This Row],[MONTANT AUTO]]</f>
        <v>#VALUE!</v>
      </c>
      <c r="Q471" s="33"/>
      <c r="R471" s="33"/>
      <c r="S471" s="33"/>
      <c r="T47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71" s="57">
        <f>ABS(Tableau13452729313335374951944325[[#This Row],[MONTANT DEPASSEMENT]]*0.005)</f>
        <v>0</v>
      </c>
      <c r="V471" s="33"/>
      <c r="W471" s="33"/>
      <c r="X471" s="33"/>
      <c r="Y471" s="33"/>
    </row>
    <row r="472" spans="1:25" x14ac:dyDescent="0.25">
      <c r="A472" s="33"/>
      <c r="B472" s="34">
        <v>800</v>
      </c>
      <c r="C472" s="34" t="s">
        <v>444</v>
      </c>
      <c r="D472" s="53" t="s">
        <v>167</v>
      </c>
      <c r="E472" s="53" t="s">
        <v>168</v>
      </c>
      <c r="F472" s="53" t="s">
        <v>210</v>
      </c>
      <c r="G472" s="34" t="s">
        <v>581</v>
      </c>
      <c r="H472" s="34" t="s">
        <v>31</v>
      </c>
      <c r="I472" s="33"/>
      <c r="J472" s="42"/>
      <c r="K472" s="43"/>
      <c r="L472" s="44"/>
      <c r="M47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72" s="38">
        <f>Tableau13452729313335374951944325[[#This Row],[MONTANT OPERATION]]+Tableau13452729313335374951944325[[#This Row],[POS  FUSIONNEE CPTE AVANT OP]]</f>
        <v>0</v>
      </c>
      <c r="O47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72" s="39" t="e">
        <f>Tableau13452729313335374951944325[[#This Row],[DEPASSEMENT TOTAL SUR AUTO
]]/-Tableau13452729313335374951944325[[#This Row],[MONTANT AUTO]]</f>
        <v>#VALUE!</v>
      </c>
      <c r="Q472" s="33"/>
      <c r="R472" s="33"/>
      <c r="S472" s="33"/>
      <c r="T47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72" s="57">
        <f>ABS(Tableau13452729313335374951944325[[#This Row],[MONTANT DEPASSEMENT]]*0.005)</f>
        <v>0</v>
      </c>
      <c r="V472" s="33"/>
      <c r="W472" s="33"/>
      <c r="X472" s="33"/>
      <c r="Y472" s="33"/>
    </row>
    <row r="473" spans="1:25" x14ac:dyDescent="0.25">
      <c r="A473" s="33"/>
      <c r="B473" s="34">
        <v>800</v>
      </c>
      <c r="C473" s="34" t="s">
        <v>444</v>
      </c>
      <c r="D473" s="53" t="s">
        <v>232</v>
      </c>
      <c r="E473" s="53" t="s">
        <v>666</v>
      </c>
      <c r="F473" s="53" t="s">
        <v>346</v>
      </c>
      <c r="G473" s="34" t="s">
        <v>465</v>
      </c>
      <c r="H473" s="34" t="s">
        <v>31</v>
      </c>
      <c r="I473" s="33"/>
      <c r="J473" s="42"/>
      <c r="K473" s="43"/>
      <c r="L473" s="44"/>
      <c r="M47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73" s="38">
        <f>Tableau13452729313335374951944325[[#This Row],[MONTANT OPERATION]]+Tableau13452729313335374951944325[[#This Row],[POS  FUSIONNEE CPTE AVANT OP]]</f>
        <v>0</v>
      </c>
      <c r="O47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73" s="39" t="e">
        <f>Tableau13452729313335374951944325[[#This Row],[DEPASSEMENT TOTAL SUR AUTO
]]/-Tableau13452729313335374951944325[[#This Row],[MONTANT AUTO]]</f>
        <v>#VALUE!</v>
      </c>
      <c r="Q473" s="33"/>
      <c r="R473" s="33"/>
      <c r="S473" s="33"/>
      <c r="T47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73" s="57">
        <f>ABS(Tableau13452729313335374951944325[[#This Row],[MONTANT DEPASSEMENT]]*0.005)</f>
        <v>0</v>
      </c>
      <c r="V473" s="33"/>
      <c r="W473" s="33"/>
      <c r="X473" s="33"/>
      <c r="Y473" s="33"/>
    </row>
    <row r="474" spans="1:25" x14ac:dyDescent="0.25">
      <c r="A474" s="33"/>
      <c r="B474" s="34">
        <v>800</v>
      </c>
      <c r="C474" s="34" t="s">
        <v>444</v>
      </c>
      <c r="D474" s="53" t="s">
        <v>232</v>
      </c>
      <c r="E474" s="53" t="s">
        <v>233</v>
      </c>
      <c r="F474" s="53" t="s">
        <v>152</v>
      </c>
      <c r="G474" s="34" t="s">
        <v>465</v>
      </c>
      <c r="H474" s="34" t="s">
        <v>31</v>
      </c>
      <c r="I474" s="33"/>
      <c r="J474" s="42"/>
      <c r="K474" s="43"/>
      <c r="L474" s="44"/>
      <c r="M47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74" s="38">
        <f>Tableau13452729313335374951944325[[#This Row],[MONTANT OPERATION]]+Tableau13452729313335374951944325[[#This Row],[POS  FUSIONNEE CPTE AVANT OP]]</f>
        <v>0</v>
      </c>
      <c r="O47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74" s="39" t="e">
        <f>Tableau13452729313335374951944325[[#This Row],[DEPASSEMENT TOTAL SUR AUTO
]]/-Tableau13452729313335374951944325[[#This Row],[MONTANT AUTO]]</f>
        <v>#VALUE!</v>
      </c>
      <c r="Q474" s="33"/>
      <c r="R474" s="33"/>
      <c r="S474" s="33"/>
      <c r="T47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74" s="57">
        <f>ABS(Tableau13452729313335374951944325[[#This Row],[MONTANT DEPASSEMENT]]*0.005)</f>
        <v>0</v>
      </c>
      <c r="V474" s="33"/>
      <c r="W474" s="33"/>
      <c r="X474" s="33"/>
      <c r="Y474" s="33"/>
    </row>
    <row r="475" spans="1:25" x14ac:dyDescent="0.25">
      <c r="A475" s="33"/>
      <c r="B475" s="34">
        <v>800</v>
      </c>
      <c r="C475" s="34" t="s">
        <v>444</v>
      </c>
      <c r="D475" s="53" t="s">
        <v>97</v>
      </c>
      <c r="E475" s="53" t="s">
        <v>98</v>
      </c>
      <c r="F475" s="53" t="s">
        <v>81</v>
      </c>
      <c r="G475" s="34" t="s">
        <v>445</v>
      </c>
      <c r="H475" s="34" t="s">
        <v>31</v>
      </c>
      <c r="I475" s="33"/>
      <c r="J475" s="42"/>
      <c r="K475" s="43"/>
      <c r="L475" s="44"/>
      <c r="M47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75" s="38">
        <f>Tableau13452729313335374951944325[[#This Row],[MONTANT OPERATION]]+Tableau13452729313335374951944325[[#This Row],[POS  FUSIONNEE CPTE AVANT OP]]</f>
        <v>0</v>
      </c>
      <c r="O47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75" s="39" t="e">
        <f>Tableau13452729313335374951944325[[#This Row],[DEPASSEMENT TOTAL SUR AUTO
]]/-Tableau13452729313335374951944325[[#This Row],[MONTANT AUTO]]</f>
        <v>#VALUE!</v>
      </c>
      <c r="Q475" s="33"/>
      <c r="R475" s="33"/>
      <c r="S475" s="33"/>
      <c r="T47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75" s="57">
        <f>ABS(Tableau13452729313335374951944325[[#This Row],[MONTANT DEPASSEMENT]]*0.005)</f>
        <v>0</v>
      </c>
      <c r="V475" s="33"/>
      <c r="W475" s="33"/>
      <c r="X475" s="33"/>
      <c r="Y475" s="33"/>
    </row>
    <row r="476" spans="1:25" x14ac:dyDescent="0.25">
      <c r="A476" s="33"/>
      <c r="B476" s="34">
        <v>800</v>
      </c>
      <c r="C476" s="34" t="s">
        <v>444</v>
      </c>
      <c r="D476" s="53" t="s">
        <v>226</v>
      </c>
      <c r="E476" s="53" t="s">
        <v>227</v>
      </c>
      <c r="F476" s="53" t="s">
        <v>228</v>
      </c>
      <c r="G476" s="34" t="s">
        <v>558</v>
      </c>
      <c r="H476" s="34" t="s">
        <v>60</v>
      </c>
      <c r="I476" s="33"/>
      <c r="J476" s="42"/>
      <c r="K476" s="43"/>
      <c r="L476" s="44"/>
      <c r="M47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76" s="38">
        <f>Tableau13452729313335374951944325[[#This Row],[MONTANT OPERATION]]+Tableau13452729313335374951944325[[#This Row],[POS  FUSIONNEE CPTE AVANT OP]]</f>
        <v>0</v>
      </c>
      <c r="O47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76" s="39" t="e">
        <f>Tableau13452729313335374951944325[[#This Row],[DEPASSEMENT TOTAL SUR AUTO
]]/-Tableau13452729313335374951944325[[#This Row],[MONTANT AUTO]]</f>
        <v>#VALUE!</v>
      </c>
      <c r="Q476" s="33"/>
      <c r="R476" s="33"/>
      <c r="S476" s="33"/>
      <c r="T47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76" s="57">
        <f>ABS(Tableau13452729313335374951944325[[#This Row],[MONTANT DEPASSEMENT]]*0.005)</f>
        <v>0</v>
      </c>
      <c r="V476" s="33"/>
      <c r="W476" s="33"/>
      <c r="X476" s="33"/>
      <c r="Y476" s="33"/>
    </row>
    <row r="477" spans="1:25" x14ac:dyDescent="0.25">
      <c r="A477" s="33"/>
      <c r="B477" s="34">
        <v>803</v>
      </c>
      <c r="C477" s="34" t="s">
        <v>447</v>
      </c>
      <c r="D477" s="53" t="s">
        <v>70</v>
      </c>
      <c r="E477" s="53" t="s">
        <v>71</v>
      </c>
      <c r="F477" s="53" t="s">
        <v>96</v>
      </c>
      <c r="G477" s="34" t="s">
        <v>448</v>
      </c>
      <c r="H477" s="34" t="s">
        <v>31</v>
      </c>
      <c r="I477" s="33"/>
      <c r="J477" s="42"/>
      <c r="K477" s="43"/>
      <c r="L477" s="44"/>
      <c r="M47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77" s="38">
        <f>Tableau13452729313335374951944325[[#This Row],[MONTANT OPERATION]]+Tableau13452729313335374951944325[[#This Row],[POS  FUSIONNEE CPTE AVANT OP]]</f>
        <v>0</v>
      </c>
      <c r="O47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77" s="39" t="e">
        <f>Tableau13452729313335374951944325[[#This Row],[DEPASSEMENT TOTAL SUR AUTO
]]/-Tableau13452729313335374951944325[[#This Row],[MONTANT AUTO]]</f>
        <v>#VALUE!</v>
      </c>
      <c r="Q477" s="33"/>
      <c r="R477" s="33"/>
      <c r="S477" s="33"/>
      <c r="T47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77" s="57">
        <f>ABS(Tableau13452729313335374951944325[[#This Row],[MONTANT DEPASSEMENT]]*0.005)</f>
        <v>0</v>
      </c>
      <c r="V477" s="33"/>
      <c r="W477" s="33"/>
      <c r="X477" s="33"/>
      <c r="Y477" s="33"/>
    </row>
    <row r="478" spans="1:25" x14ac:dyDescent="0.25">
      <c r="A478" s="33"/>
      <c r="B478" s="34">
        <v>803</v>
      </c>
      <c r="C478" s="34" t="s">
        <v>447</v>
      </c>
      <c r="D478" s="53" t="s">
        <v>56</v>
      </c>
      <c r="E478" s="53" t="s">
        <v>57</v>
      </c>
      <c r="F478" s="53" t="s">
        <v>116</v>
      </c>
      <c r="G478" s="34" t="s">
        <v>596</v>
      </c>
      <c r="H478" s="34" t="s">
        <v>31</v>
      </c>
      <c r="I478" s="33"/>
      <c r="J478" s="42"/>
      <c r="K478" s="43"/>
      <c r="L478" s="44"/>
      <c r="M47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78" s="38">
        <f>Tableau13452729313335374951944325[[#This Row],[MONTANT OPERATION]]+Tableau13452729313335374951944325[[#This Row],[POS  FUSIONNEE CPTE AVANT OP]]</f>
        <v>0</v>
      </c>
      <c r="O47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78" s="39" t="e">
        <f>Tableau13452729313335374951944325[[#This Row],[DEPASSEMENT TOTAL SUR AUTO
]]/-Tableau13452729313335374951944325[[#This Row],[MONTANT AUTO]]</f>
        <v>#VALUE!</v>
      </c>
      <c r="Q478" s="33"/>
      <c r="R478" s="33"/>
      <c r="S478" s="33"/>
      <c r="T47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78" s="57">
        <f>ABS(Tableau13452729313335374951944325[[#This Row],[MONTANT DEPASSEMENT]]*0.005)</f>
        <v>0</v>
      </c>
      <c r="V478" s="33"/>
      <c r="W478" s="33"/>
      <c r="X478" s="33"/>
      <c r="Y478" s="33"/>
    </row>
    <row r="479" spans="1:25" x14ac:dyDescent="0.25">
      <c r="A479" s="33"/>
      <c r="B479" s="34">
        <v>803</v>
      </c>
      <c r="C479" s="34" t="s">
        <v>447</v>
      </c>
      <c r="D479" s="53" t="s">
        <v>33</v>
      </c>
      <c r="E479" s="53" t="s">
        <v>34</v>
      </c>
      <c r="F479" s="53" t="s">
        <v>230</v>
      </c>
      <c r="G479" s="34" t="s">
        <v>466</v>
      </c>
      <c r="H479" s="34" t="s">
        <v>31</v>
      </c>
      <c r="I479" s="33"/>
      <c r="J479" s="42"/>
      <c r="K479" s="43"/>
      <c r="L479" s="44"/>
      <c r="M47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79" s="38">
        <f>Tableau13452729313335374951944325[[#This Row],[MONTANT OPERATION]]+Tableau13452729313335374951944325[[#This Row],[POS  FUSIONNEE CPTE AVANT OP]]</f>
        <v>0</v>
      </c>
      <c r="O47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79" s="39" t="e">
        <f>Tableau13452729313335374951944325[[#This Row],[DEPASSEMENT TOTAL SUR AUTO
]]/-Tableau13452729313335374951944325[[#This Row],[MONTANT AUTO]]</f>
        <v>#VALUE!</v>
      </c>
      <c r="Q479" s="33"/>
      <c r="R479" s="33"/>
      <c r="S479" s="33"/>
      <c r="T47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79" s="57">
        <f>ABS(Tableau13452729313335374951944325[[#This Row],[MONTANT DEPASSEMENT]]*0.005)</f>
        <v>0</v>
      </c>
      <c r="V479" s="33"/>
      <c r="W479" s="33"/>
      <c r="X479" s="33"/>
      <c r="Y479" s="33"/>
    </row>
    <row r="480" spans="1:25" x14ac:dyDescent="0.25">
      <c r="A480" s="33"/>
      <c r="B480" s="34">
        <v>803</v>
      </c>
      <c r="C480" s="34" t="s">
        <v>447</v>
      </c>
      <c r="D480" s="53" t="s">
        <v>307</v>
      </c>
      <c r="E480" s="53" t="s">
        <v>308</v>
      </c>
      <c r="F480" s="53" t="s">
        <v>242</v>
      </c>
      <c r="G480" s="34" t="s">
        <v>582</v>
      </c>
      <c r="H480" s="34" t="s">
        <v>31</v>
      </c>
      <c r="I480" s="33"/>
      <c r="J480" s="42"/>
      <c r="K480" s="43"/>
      <c r="L480" s="44"/>
      <c r="M48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80" s="38">
        <f>Tableau13452729313335374951944325[[#This Row],[MONTANT OPERATION]]+Tableau13452729313335374951944325[[#This Row],[POS  FUSIONNEE CPTE AVANT OP]]</f>
        <v>0</v>
      </c>
      <c r="O48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80" s="39" t="e">
        <f>Tableau13452729313335374951944325[[#This Row],[DEPASSEMENT TOTAL SUR AUTO
]]/-Tableau13452729313335374951944325[[#This Row],[MONTANT AUTO]]</f>
        <v>#VALUE!</v>
      </c>
      <c r="Q480" s="33"/>
      <c r="R480" s="33"/>
      <c r="S480" s="33"/>
      <c r="T48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80" s="57">
        <f>ABS(Tableau13452729313335374951944325[[#This Row],[MONTANT DEPASSEMENT]]*0.005)</f>
        <v>0</v>
      </c>
      <c r="V480" s="33"/>
      <c r="W480" s="33"/>
      <c r="X480" s="33"/>
      <c r="Y480" s="33"/>
    </row>
    <row r="481" spans="1:25" x14ac:dyDescent="0.25">
      <c r="A481" s="33"/>
      <c r="B481" s="34">
        <v>803</v>
      </c>
      <c r="C481" s="34" t="s">
        <v>447</v>
      </c>
      <c r="D481" s="53" t="s">
        <v>625</v>
      </c>
      <c r="E481" s="53" t="s">
        <v>626</v>
      </c>
      <c r="F481" s="53" t="s">
        <v>297</v>
      </c>
      <c r="G481" s="34" t="s">
        <v>627</v>
      </c>
      <c r="H481" s="34" t="s">
        <v>31</v>
      </c>
      <c r="I481" s="33"/>
      <c r="J481" s="42"/>
      <c r="K481" s="43"/>
      <c r="L481" s="44"/>
      <c r="M48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81" s="38">
        <f>Tableau13452729313335374951944325[[#This Row],[MONTANT OPERATION]]+Tableau13452729313335374951944325[[#This Row],[POS  FUSIONNEE CPTE AVANT OP]]</f>
        <v>0</v>
      </c>
      <c r="O48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81" s="39" t="e">
        <f>Tableau13452729313335374951944325[[#This Row],[DEPASSEMENT TOTAL SUR AUTO
]]/-Tableau13452729313335374951944325[[#This Row],[MONTANT AUTO]]</f>
        <v>#VALUE!</v>
      </c>
      <c r="Q481" s="33"/>
      <c r="R481" s="33"/>
      <c r="S481" s="33"/>
      <c r="T48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81" s="57">
        <f>ABS(Tableau13452729313335374951944325[[#This Row],[MONTANT DEPASSEMENT]]*0.005)</f>
        <v>0</v>
      </c>
      <c r="V481" s="33"/>
      <c r="W481" s="33"/>
      <c r="X481" s="33"/>
      <c r="Y481" s="33"/>
    </row>
    <row r="482" spans="1:25" x14ac:dyDescent="0.25">
      <c r="A482" s="33"/>
      <c r="B482" s="34">
        <v>803</v>
      </c>
      <c r="C482" s="34" t="s">
        <v>447</v>
      </c>
      <c r="D482" s="53" t="s">
        <v>274</v>
      </c>
      <c r="E482" s="53" t="s">
        <v>275</v>
      </c>
      <c r="F482" s="53" t="s">
        <v>276</v>
      </c>
      <c r="G482" s="34" t="s">
        <v>600</v>
      </c>
      <c r="H482" s="34" t="s">
        <v>31</v>
      </c>
      <c r="I482" s="33"/>
      <c r="J482" s="42"/>
      <c r="K482" s="43"/>
      <c r="L482" s="44"/>
      <c r="M482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82" s="38">
        <f>Tableau13452729313335374951944325[[#This Row],[MONTANT OPERATION]]+Tableau13452729313335374951944325[[#This Row],[POS  FUSIONNEE CPTE AVANT OP]]</f>
        <v>0</v>
      </c>
      <c r="O482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82" s="39" t="e">
        <f>Tableau13452729313335374951944325[[#This Row],[DEPASSEMENT TOTAL SUR AUTO
]]/-Tableau13452729313335374951944325[[#This Row],[MONTANT AUTO]]</f>
        <v>#VALUE!</v>
      </c>
      <c r="Q482" s="33"/>
      <c r="R482" s="33"/>
      <c r="S482" s="33"/>
      <c r="T482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82" s="57">
        <f>ABS(Tableau13452729313335374951944325[[#This Row],[MONTANT DEPASSEMENT]]*0.005)</f>
        <v>0</v>
      </c>
      <c r="V482" s="33"/>
      <c r="W482" s="33"/>
      <c r="X482" s="33"/>
      <c r="Y482" s="33"/>
    </row>
    <row r="483" spans="1:25" x14ac:dyDescent="0.25">
      <c r="A483" s="33"/>
      <c r="B483" s="34">
        <v>806</v>
      </c>
      <c r="C483" s="34" t="s">
        <v>492</v>
      </c>
      <c r="D483" s="53" t="s">
        <v>206</v>
      </c>
      <c r="E483" s="53" t="s">
        <v>207</v>
      </c>
      <c r="F483" s="53" t="s">
        <v>77</v>
      </c>
      <c r="G483" s="34" t="s">
        <v>514</v>
      </c>
      <c r="H483" s="34" t="s">
        <v>31</v>
      </c>
      <c r="I483" s="33"/>
      <c r="J483" s="42"/>
      <c r="K483" s="43"/>
      <c r="L483" s="44"/>
      <c r="M483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83" s="38">
        <f>Tableau13452729313335374951944325[[#This Row],[MONTANT OPERATION]]+Tableau13452729313335374951944325[[#This Row],[POS  FUSIONNEE CPTE AVANT OP]]</f>
        <v>0</v>
      </c>
      <c r="O483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83" s="39" t="e">
        <f>Tableau13452729313335374951944325[[#This Row],[DEPASSEMENT TOTAL SUR AUTO
]]/-Tableau13452729313335374951944325[[#This Row],[MONTANT AUTO]]</f>
        <v>#VALUE!</v>
      </c>
      <c r="Q483" s="33"/>
      <c r="R483" s="33"/>
      <c r="S483" s="33"/>
      <c r="T483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83" s="57">
        <f>ABS(Tableau13452729313335374951944325[[#This Row],[MONTANT DEPASSEMENT]]*0.005)</f>
        <v>0</v>
      </c>
      <c r="V483" s="33"/>
      <c r="W483" s="33"/>
      <c r="X483" s="33"/>
      <c r="Y483" s="33"/>
    </row>
    <row r="484" spans="1:25" x14ac:dyDescent="0.25">
      <c r="A484" s="33"/>
      <c r="B484" s="34">
        <v>806</v>
      </c>
      <c r="C484" s="34" t="s">
        <v>492</v>
      </c>
      <c r="D484" s="53" t="s">
        <v>150</v>
      </c>
      <c r="E484" s="53" t="s">
        <v>151</v>
      </c>
      <c r="F484" s="53" t="s">
        <v>152</v>
      </c>
      <c r="G484" s="34" t="s">
        <v>493</v>
      </c>
      <c r="H484" s="34" t="s">
        <v>31</v>
      </c>
      <c r="I484" s="33"/>
      <c r="J484" s="42"/>
      <c r="K484" s="43"/>
      <c r="L484" s="44"/>
      <c r="M484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84" s="38">
        <f>Tableau13452729313335374951944325[[#This Row],[MONTANT OPERATION]]+Tableau13452729313335374951944325[[#This Row],[POS  FUSIONNEE CPTE AVANT OP]]</f>
        <v>0</v>
      </c>
      <c r="O484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84" s="39" t="e">
        <f>Tableau13452729313335374951944325[[#This Row],[DEPASSEMENT TOTAL SUR AUTO
]]/-Tableau13452729313335374951944325[[#This Row],[MONTANT AUTO]]</f>
        <v>#VALUE!</v>
      </c>
      <c r="Q484" s="33"/>
      <c r="R484" s="33"/>
      <c r="S484" s="33"/>
      <c r="T484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84" s="57">
        <f>ABS(Tableau13452729313335374951944325[[#This Row],[MONTANT DEPASSEMENT]]*0.005)</f>
        <v>0</v>
      </c>
      <c r="V484" s="33"/>
      <c r="W484" s="33"/>
      <c r="X484" s="33"/>
      <c r="Y484" s="33"/>
    </row>
    <row r="485" spans="1:25" x14ac:dyDescent="0.25">
      <c r="A485" s="33"/>
      <c r="B485" s="34">
        <v>807</v>
      </c>
      <c r="C485" s="34" t="s">
        <v>442</v>
      </c>
      <c r="D485" s="53" t="s">
        <v>155</v>
      </c>
      <c r="E485" s="53" t="s">
        <v>156</v>
      </c>
      <c r="F485" s="53" t="s">
        <v>108</v>
      </c>
      <c r="G485" s="34" t="s">
        <v>468</v>
      </c>
      <c r="H485" s="34" t="s">
        <v>31</v>
      </c>
      <c r="I485" s="33"/>
      <c r="J485" s="42"/>
      <c r="K485" s="43"/>
      <c r="L485" s="44"/>
      <c r="M485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85" s="38">
        <f>Tableau13452729313335374951944325[[#This Row],[MONTANT OPERATION]]+Tableau13452729313335374951944325[[#This Row],[POS  FUSIONNEE CPTE AVANT OP]]</f>
        <v>0</v>
      </c>
      <c r="O485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85" s="39" t="e">
        <f>Tableau13452729313335374951944325[[#This Row],[DEPASSEMENT TOTAL SUR AUTO
]]/-Tableau13452729313335374951944325[[#This Row],[MONTANT AUTO]]</f>
        <v>#VALUE!</v>
      </c>
      <c r="Q485" s="33"/>
      <c r="R485" s="33"/>
      <c r="S485" s="33"/>
      <c r="T485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85" s="57">
        <f>ABS(Tableau13452729313335374951944325[[#This Row],[MONTANT DEPASSEMENT]]*0.005)</f>
        <v>0</v>
      </c>
      <c r="V485" s="33"/>
      <c r="W485" s="33"/>
      <c r="X485" s="33"/>
      <c r="Y485" s="33"/>
    </row>
    <row r="486" spans="1:25" x14ac:dyDescent="0.25">
      <c r="A486" s="33"/>
      <c r="B486" s="34">
        <v>807</v>
      </c>
      <c r="C486" s="34" t="s">
        <v>442</v>
      </c>
      <c r="D486" s="53" t="s">
        <v>253</v>
      </c>
      <c r="E486" s="53" t="s">
        <v>254</v>
      </c>
      <c r="F486" s="53" t="s">
        <v>37</v>
      </c>
      <c r="G486" s="34" t="s">
        <v>610</v>
      </c>
      <c r="H486" s="34" t="s">
        <v>31</v>
      </c>
      <c r="I486" s="33"/>
      <c r="J486" s="42"/>
      <c r="K486" s="43"/>
      <c r="L486" s="44"/>
      <c r="M486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86" s="38">
        <f>Tableau13452729313335374951944325[[#This Row],[MONTANT OPERATION]]+Tableau13452729313335374951944325[[#This Row],[POS  FUSIONNEE CPTE AVANT OP]]</f>
        <v>0</v>
      </c>
      <c r="O486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86" s="39" t="e">
        <f>Tableau13452729313335374951944325[[#This Row],[DEPASSEMENT TOTAL SUR AUTO
]]/-Tableau13452729313335374951944325[[#This Row],[MONTANT AUTO]]</f>
        <v>#VALUE!</v>
      </c>
      <c r="Q486" s="33"/>
      <c r="R486" s="33"/>
      <c r="S486" s="33"/>
      <c r="T486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86" s="57">
        <f>ABS(Tableau13452729313335374951944325[[#This Row],[MONTANT DEPASSEMENT]]*0.005)</f>
        <v>0</v>
      </c>
      <c r="V486" s="33"/>
      <c r="W486" s="33"/>
      <c r="X486" s="33"/>
      <c r="Y486" s="33"/>
    </row>
    <row r="487" spans="1:25" x14ac:dyDescent="0.25">
      <c r="A487" s="33"/>
      <c r="B487" s="34">
        <v>807</v>
      </c>
      <c r="C487" s="34" t="s">
        <v>442</v>
      </c>
      <c r="D487" s="53" t="s">
        <v>190</v>
      </c>
      <c r="E487" s="53" t="s">
        <v>212</v>
      </c>
      <c r="F487" s="53" t="s">
        <v>92</v>
      </c>
      <c r="G487" s="34" t="s">
        <v>443</v>
      </c>
      <c r="H487" s="34" t="s">
        <v>31</v>
      </c>
      <c r="I487" s="33"/>
      <c r="J487" s="42"/>
      <c r="K487" s="43"/>
      <c r="L487" s="44"/>
      <c r="M487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87" s="38">
        <f>Tableau13452729313335374951944325[[#This Row],[MONTANT OPERATION]]+Tableau13452729313335374951944325[[#This Row],[POS  FUSIONNEE CPTE AVANT OP]]</f>
        <v>0</v>
      </c>
      <c r="O487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87" s="39" t="e">
        <f>Tableau13452729313335374951944325[[#This Row],[DEPASSEMENT TOTAL SUR AUTO
]]/-Tableau13452729313335374951944325[[#This Row],[MONTANT AUTO]]</f>
        <v>#VALUE!</v>
      </c>
      <c r="Q487" s="33"/>
      <c r="R487" s="33"/>
      <c r="S487" s="33"/>
      <c r="T487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87" s="57">
        <f>ABS(Tableau13452729313335374951944325[[#This Row],[MONTANT DEPASSEMENT]]*0.005)</f>
        <v>0</v>
      </c>
      <c r="V487" s="33"/>
      <c r="W487" s="33"/>
      <c r="X487" s="33"/>
      <c r="Y487" s="33"/>
    </row>
    <row r="488" spans="1:25" x14ac:dyDescent="0.25">
      <c r="A488" s="33"/>
      <c r="B488" s="34">
        <v>521</v>
      </c>
      <c r="C488" s="34" t="s">
        <v>611</v>
      </c>
      <c r="D488" s="53" t="s">
        <v>174</v>
      </c>
      <c r="E488" s="53" t="s">
        <v>204</v>
      </c>
      <c r="F488" s="53" t="s">
        <v>205</v>
      </c>
      <c r="G488" s="34" t="s">
        <v>657</v>
      </c>
      <c r="H488" s="34" t="s">
        <v>60</v>
      </c>
      <c r="I488" s="33"/>
      <c r="J488" s="42"/>
      <c r="K488" s="43"/>
      <c r="L488" s="44"/>
      <c r="M488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88" s="38">
        <f>Tableau13452729313335374951944325[[#This Row],[MONTANT OPERATION]]+Tableau13452729313335374951944325[[#This Row],[POS  FUSIONNEE CPTE AVANT OP]]</f>
        <v>0</v>
      </c>
      <c r="O488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88" s="39" t="e">
        <f>Tableau13452729313335374951944325[[#This Row],[DEPASSEMENT TOTAL SUR AUTO
]]/-Tableau13452729313335374951944325[[#This Row],[MONTANT AUTO]]</f>
        <v>#VALUE!</v>
      </c>
      <c r="Q488" s="33"/>
      <c r="R488" s="33"/>
      <c r="S488" s="33"/>
      <c r="T488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88" s="57">
        <f>ABS(Tableau13452729313335374951944325[[#This Row],[MONTANT DEPASSEMENT]]*0.005)</f>
        <v>0</v>
      </c>
      <c r="V488" s="33"/>
      <c r="W488" s="33"/>
      <c r="X488" s="33"/>
      <c r="Y488" s="33"/>
    </row>
    <row r="489" spans="1:25" x14ac:dyDescent="0.25">
      <c r="A489" s="33"/>
      <c r="B489" s="34">
        <v>330</v>
      </c>
      <c r="C489" s="34" t="s">
        <v>684</v>
      </c>
      <c r="D489" s="53" t="s">
        <v>690</v>
      </c>
      <c r="E489" s="53" t="s">
        <v>689</v>
      </c>
      <c r="F489" s="53" t="s">
        <v>681</v>
      </c>
      <c r="G489" s="34" t="s">
        <v>688</v>
      </c>
      <c r="H489" s="34" t="s">
        <v>680</v>
      </c>
      <c r="I489" s="33"/>
      <c r="J489" s="42"/>
      <c r="K489" s="43"/>
      <c r="L489" s="44"/>
      <c r="M489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89" s="38">
        <f>Tableau13452729313335374951944325[[#This Row],[MONTANT OPERATION]]+Tableau13452729313335374951944325[[#This Row],[POS  FUSIONNEE CPTE AVANT OP]]</f>
        <v>0</v>
      </c>
      <c r="O489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89" s="39" t="e">
        <f>Tableau13452729313335374951944325[[#This Row],[DEPASSEMENT TOTAL SUR AUTO
]]/-Tableau13452729313335374951944325[[#This Row],[MONTANT AUTO]]</f>
        <v>#VALUE!</v>
      </c>
      <c r="Q489" s="33"/>
      <c r="R489" s="33"/>
      <c r="S489" s="33"/>
      <c r="T489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89" s="57">
        <f>ABS(Tableau13452729313335374951944325[[#This Row],[MONTANT DEPASSEMENT]]*0.005)</f>
        <v>0</v>
      </c>
      <c r="V489" s="33"/>
      <c r="W489" s="33"/>
      <c r="X489" s="33"/>
      <c r="Y489" s="33"/>
    </row>
    <row r="490" spans="1:25" x14ac:dyDescent="0.25">
      <c r="A490" s="33"/>
      <c r="B490" s="34">
        <v>815</v>
      </c>
      <c r="C490" s="34" t="s">
        <v>652</v>
      </c>
      <c r="D490" s="53" t="s">
        <v>160</v>
      </c>
      <c r="E490" s="53" t="s">
        <v>361</v>
      </c>
      <c r="F490" s="53" t="s">
        <v>256</v>
      </c>
      <c r="G490" s="34" t="s">
        <v>634</v>
      </c>
      <c r="H490" s="34" t="s">
        <v>31</v>
      </c>
      <c r="I490" s="33"/>
      <c r="J490" s="42"/>
      <c r="K490" s="43"/>
      <c r="L490" s="44"/>
      <c r="M490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90" s="38">
        <f>Tableau13452729313335374951944325[[#This Row],[MONTANT OPERATION]]+Tableau13452729313335374951944325[[#This Row],[POS  FUSIONNEE CPTE AVANT OP]]</f>
        <v>0</v>
      </c>
      <c r="O490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90" s="39" t="e">
        <f>Tableau13452729313335374951944325[[#This Row],[DEPASSEMENT TOTAL SUR AUTO
]]/-Tableau13452729313335374951944325[[#This Row],[MONTANT AUTO]]</f>
        <v>#VALUE!</v>
      </c>
      <c r="Q490" s="33"/>
      <c r="R490" s="33"/>
      <c r="S490" s="33"/>
      <c r="T490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90" s="57">
        <f>ABS(Tableau13452729313335374951944325[[#This Row],[MONTANT DEPASSEMENT]]*0.005)</f>
        <v>0</v>
      </c>
      <c r="V490" s="33"/>
      <c r="W490" s="33"/>
      <c r="X490" s="33"/>
      <c r="Y490" s="33"/>
    </row>
    <row r="491" spans="1:25" x14ac:dyDescent="0.25">
      <c r="A491" s="33"/>
      <c r="B491" s="34">
        <v>815</v>
      </c>
      <c r="C491" s="34" t="s">
        <v>652</v>
      </c>
      <c r="D491" s="53" t="s">
        <v>160</v>
      </c>
      <c r="E491" s="53" t="s">
        <v>635</v>
      </c>
      <c r="F491" s="53" t="s">
        <v>406</v>
      </c>
      <c r="G491" s="34" t="s">
        <v>634</v>
      </c>
      <c r="H491" s="34" t="s">
        <v>47</v>
      </c>
      <c r="I491" s="33"/>
      <c r="J491" s="42"/>
      <c r="K491" s="43"/>
      <c r="L491" s="44"/>
      <c r="M491" s="38">
        <f>ABS(IF((Tableau13452729313335374951944325[[#This Row],[POS  FUSIONNEE CPTE AVANT OP]]&gt;Tableau13452729313335374951944325[[#This Row],[MONTANT AUTO]]),(Tableau13452729313335374951944325[[#This Row],[POS  FUSIONNEE CPTE AVANT OP]]+Tableau13452729313335374951944325[[#This Row],[MONTANT OPERATION]])-Tableau13452729313335374951944325[[#This Row],[MONTANT AUTO]],Tableau13452729313335374951944325[[#This Row],[MONTANT OPERATION]]))</f>
        <v>0</v>
      </c>
      <c r="N491" s="38">
        <f>Tableau13452729313335374951944325[[#This Row],[MONTANT OPERATION]]+Tableau13452729313335374951944325[[#This Row],[POS  FUSIONNEE CPTE AVANT OP]]</f>
        <v>0</v>
      </c>
      <c r="O491" s="38" t="str">
        <f>IF(ISBLANK(Tableau13452729313335374951944325[[#This Row],[MONTANT AUTO]]), "N/A", ABS(Tableau13452729313335374951944325[[#This Row],[POS  FUSIONNEE CPTE APRES OP]])-ABS(Tableau13452729313335374951944325[[#This Row],[MONTANT AUTO]]))</f>
        <v>N/A</v>
      </c>
      <c r="P491" s="39" t="e">
        <f>Tableau13452729313335374951944325[[#This Row],[DEPASSEMENT TOTAL SUR AUTO
]]/-Tableau13452729313335374951944325[[#This Row],[MONTANT AUTO]]</f>
        <v>#VALUE!</v>
      </c>
      <c r="Q491" s="33"/>
      <c r="R491" s="33"/>
      <c r="S491" s="33"/>
      <c r="T491" s="38">
        <f>IF(Tableau13452729313335374951944325[[#This Row],[0,5% du dép]]&lt;5000,5000,IF(Tableau13452729313335374951944325[[#This Row],[0,5% du dép]]&gt;50000,50000,Tableau13452729313335374951944325[[#This Row],[0,5% du dép]]))</f>
        <v>5000</v>
      </c>
      <c r="U491" s="57">
        <f>ABS(Tableau13452729313335374951944325[[#This Row],[MONTANT DEPASSEMENT]]*0.005)</f>
        <v>0</v>
      </c>
      <c r="V491" s="33"/>
      <c r="W491" s="33"/>
      <c r="X491" s="33"/>
      <c r="Y491" s="33"/>
    </row>
  </sheetData>
  <autoFilter ref="Z1:Z13" xr:uid="{E649FBE6-4CB5-49C3-88D5-447B564F2363}">
    <sortState xmlns:xlrd2="http://schemas.microsoft.com/office/spreadsheetml/2017/richdata2" ref="Z2:Z13">
      <sortCondition ref="Z1:Z13"/>
    </sortState>
  </autoFilter>
  <dataConsolidate/>
  <conditionalFormatting sqref="P2:P491">
    <cfRule type="colorScale" priority="187">
      <colorScale>
        <cfvo type="percent" val="0"/>
        <cfvo type="percent" val="10"/>
        <cfvo type="percent" val="11"/>
        <color rgb="FF00B050"/>
        <color rgb="FFFFC000"/>
        <color rgb="FFFF0000"/>
      </colorScale>
    </cfRule>
  </conditionalFormatting>
  <dataValidations count="2">
    <dataValidation type="list" allowBlank="1" showInputMessage="1" showErrorMessage="1" sqref="S2:S16" xr:uid="{AC906E82-CA33-4F1C-8F13-A957708881C4}">
      <formula1>#REF!</formula1>
    </dataValidation>
    <dataValidation type="list" allowBlank="1" showDropDown="1" showInputMessage="1" showErrorMessage="1" sqref="Z2:Z37" xr:uid="{24EFE8AF-FF8D-4032-B900-8F96A040E4A4}">
      <formula1>$Z$2:$Z$37</formula1>
    </dataValidation>
  </dataValidations>
  <pageMargins left="0.7" right="0.7" top="0.75" bottom="0.75" header="0.3" footer="0.3"/>
  <pageSetup paperSize="9"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A64E6E3-B43D-4A83-8FE4-DE855F6249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DONNÉES_PQ</vt:lpstr>
      <vt:lpstr>DONNÉES</vt:lpstr>
      <vt:lpstr>Feuil1</vt:lpstr>
      <vt:lpstr>BASE_CLIENT</vt:lpstr>
    </vt:vector>
  </TitlesOfParts>
  <Company>SCB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 DIKOUM</dc:creator>
  <cp:lastModifiedBy>Ernest DIKOUM</cp:lastModifiedBy>
  <dcterms:created xsi:type="dcterms:W3CDTF">2026-05-15T15:15:40Z</dcterms:created>
  <dcterms:modified xsi:type="dcterms:W3CDTF">2026-06-03T14:35:26Z</dcterms:modified>
</cp:coreProperties>
</file>